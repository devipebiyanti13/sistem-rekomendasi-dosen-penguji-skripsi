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D\KULIAH\SEMESTER 7\SKRIPSI 🎀\APLIKASI_STREAMLIT\"/>
    </mc:Choice>
  </mc:AlternateContent>
  <xr:revisionPtr revIDLastSave="0" documentId="13_ncr:1_{0B4D2796-170F-4BF2-9510-D3310351AD3A}" xr6:coauthVersionLast="47" xr6:coauthVersionMax="47" xr10:uidLastSave="{00000000-0000-0000-0000-000000000000}"/>
  <bookViews>
    <workbookView xWindow="-120" yWindow="-120" windowWidth="20730" windowHeight="11160" xr2:uid="{7A36A13C-67F1-4F2D-878E-1BE2A966F6F4}"/>
  </bookViews>
  <sheets>
    <sheet name="Sheet1" sheetId="1" r:id="rId1"/>
  </sheets>
  <definedNames>
    <definedName name="_xlnm._FilterDatabase" localSheetId="0" hidden="1">Sheet1!$D$1:$D$57</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55" i="1" l="1"/>
  <c r="O54" i="1"/>
  <c r="N54" i="1"/>
  <c r="L54" i="1"/>
  <c r="L55" i="1" s="1"/>
  <c r="K54" i="1"/>
  <c r="K55" i="1" s="1"/>
  <c r="W55" i="1"/>
  <c r="W54" i="1"/>
  <c r="V55" i="1"/>
  <c r="V54" i="1"/>
  <c r="U55" i="1"/>
  <c r="U54" i="1"/>
  <c r="S55" i="1"/>
  <c r="S54" i="1"/>
  <c r="R55" i="1"/>
  <c r="R54" i="1"/>
  <c r="Q54" i="1"/>
</calcChain>
</file>

<file path=xl/sharedStrings.xml><?xml version="1.0" encoding="utf-8"?>
<sst xmlns="http://schemas.openxmlformats.org/spreadsheetml/2006/main" count="423" uniqueCount="248">
  <si>
    <t>No.</t>
  </si>
  <si>
    <t>Nama Mahasiswa</t>
  </si>
  <si>
    <t>Program Studi</t>
  </si>
  <si>
    <t>Topik</t>
  </si>
  <si>
    <t>Judul</t>
  </si>
  <si>
    <t xml:space="preserve">Abstrak </t>
  </si>
  <si>
    <t>Penguji 1</t>
  </si>
  <si>
    <t>Penguji 2</t>
  </si>
  <si>
    <t>Penguji 3</t>
  </si>
  <si>
    <t>Teknik Informatika</t>
  </si>
  <si>
    <t>Machine Learning</t>
  </si>
  <si>
    <t>Fika Hastarita Rachman</t>
  </si>
  <si>
    <t>Rika Yunitarini</t>
  </si>
  <si>
    <t>Bain Khusnul Khotimah</t>
  </si>
  <si>
    <t>Sistem Informasi</t>
  </si>
  <si>
    <t xml:space="preserve">deep learning </t>
  </si>
  <si>
    <t>Wahyudi Agustiono</t>
  </si>
  <si>
    <t>Aeri Rachmad</t>
  </si>
  <si>
    <t>Sri Herawati</t>
  </si>
  <si>
    <t xml:space="preserve">Text Mining </t>
  </si>
  <si>
    <t>Wahyudi Setiawan</t>
  </si>
  <si>
    <t>Ali Syakur</t>
  </si>
  <si>
    <t>Firli irhamni</t>
  </si>
  <si>
    <t xml:space="preserve">ACHMAD ALIF NURDIANSYAH DHOFIR </t>
  </si>
  <si>
    <t xml:space="preserve">Data Mining </t>
  </si>
  <si>
    <t>Klasifikasi Ketepatan Waktu Lulus Mahasiswa Teknik Informatika Universitas Trunojoyo Madura dengan K-NEAREST NEIGHBOURS</t>
  </si>
  <si>
    <t>Dalam sebuah perguruan tinggi, nilai akreditasi merupakan suatu hal yang penting untuk diperhatikan oleh pihak perguruan tinggi. Dalam menetukan nilai akreditasi sebuah perguruan tinggi, tingkat kelulusan dari mahasiswa didalamnya adalah salah satu aspek yang berpengaruh. Sehingga apabila setiap mahasiswa lulus tepat waktu, maka akan membantu perguruan tinggi tersebut untuk mendapatkan nilai akreditasi perguruan tinggi yang diinginkan. Namun kenyatannya, dalam Universitas Trunojoyo Madura sendiri, masih banyak mahasiswa yang terlambat kelulusannya, khususnya jurusan Teknik Informatika. Hal ini tentunya menjadi salah satu permasalahan yang perlu dipecahkan oleh pihak perguruan tinggi. Oleh karena itu dibutuhkan sebuah analisa dalam mengklasifikasikan data kelulusan mahasiswa dengan memanfaatkan proses data mining. Penelitian ini menggunakan algoritma K-Nearest Neighbours sebagai proses klasifikasi. Hasil dari penelitian ini bertujuan untuk membantu memberikan kontribusi kepada pihak fakultas teknik dan universitas dalam melakukan evaluasi serta perbaikan terhadap sistem pembelajaran, sehingga diharapkan dapat membantu mahasiswa untuk lulus tepat waktu. Data yang digunakan dalam penelitian ini sebanyak 850 data set dari tahun 2015 hingga 2019 dengan rincian pembagian data dengan rasio 80 data untuk pelatihan (training) dan 20 data untuk pengujian (testing). Hasil dari menggunakan K=8 mendapatkan nilai tertinggi dengan akurasi 91%, Presisi 90%, f1-score 91%, dan Recall 90%.</t>
  </si>
  <si>
    <t>Husni</t>
  </si>
  <si>
    <t>Eka Mala Sari Rochman</t>
  </si>
  <si>
    <t xml:space="preserve">TESA PUTRI HUTAGAOL </t>
  </si>
  <si>
    <t>ANALISIS SENTIMEN MULTI ASPEK TERHADAP PROGRAM MAKAN BERGIZI GRATIS (MBG) BERBASIS TF-IDF DAN N-GRAM DENGAN ALGORITMA LOGISTIC REGRESSION</t>
  </si>
  <si>
    <t>Perhatian publik terhadap pelaksanaan Program Makan Bergizi Gratis (MBG) meningkat seiring luasnya cakupan program dan dampaknya terhadap masyarakat. Penelitian ini bertujuan untuk menganalisis sentimen publik secara multi-aspek terhadap Program MBG menggunakan algoritma Logistic Regression dengan representasi fitur TF-IDF, pendekatan N-Gram, serta penerapan teknik SMOTE untuk mengatasi ketidakseimbangan kelas sentimen. Data penelitian diperoleh dari komentar publik di media sosial TikTok sebanyak 1.390 data yang telah melalui proses pelabelan ke dalam lima aspek utama, yaitu Kualitas dan Keamanan Menu, Anggaran dan Efisiensi, Ketepatan Waktu Distribusi, Kesiapan Infrastruktur dan Logistik, serta Cakupan dan Pemerataan. Ekstraksi fitur dilakukan menggunakan TF-IDF dengan variasi konfigurasi N-Gram, dan klasifikasi sentimen dilakukan menggunakan Logistic Regression. Hasil pengujian menunjukkan bahwa penggunaan kombinasi unigram&amp;ndash;bigram (N-Gram range (1,2)) menghasilkan performa terbaik dengan rata-rata akurasi sebesar 86,1%, rata-rata presisi 85,0%, rata-rata recall 81,6%, dan rata-rata F1-score 82,8% pada data uji. Penerapan metode SMOTE terbukti meningkatkan kinerja model secara signifikan, khususnya pada metrik recall dan F1-score kelas minoritas (positif). Nilai rata-rata F1-score meningkat dari 69,3% pada model tanpa SMOTE menjadi 82,8% setelah penerapan SMOTE, atau mengalami peningkatan sebesar 13,5%. Temuan ini menunjukkan bahwa kombinasi TF-IDF, N-Gram, dan SMOTE dengan algoritma Logistic Regression efektif dalam melakukan analisis sentimen multi-aspek terhadap Program MBG dan dapat menjadi dasar evaluasi berbasis data bagi pemangku kebijakan.</t>
  </si>
  <si>
    <t>Doni Abdul Fatah</t>
  </si>
  <si>
    <t>Hanifudin Sukri</t>
  </si>
  <si>
    <t>Mashudah Sabilaturrizqi</t>
  </si>
  <si>
    <t>Mohammad Syarief</t>
  </si>
  <si>
    <t xml:space="preserve">ALFARIZI THORIQUL AKBAR </t>
  </si>
  <si>
    <t>ANALISIS SENTIMEN MENGGUNAKAN NAIVE BAYES CLASSIFIER DAN SMOTE UNTUK ULASAN WISATA PANTAI SEMBILAN DI KABUPATEN SUMENEP</t>
  </si>
  <si>
    <t>Perkembangan teknologi informasi mendorong masyarakat untuk berbagi pengalaman melalui ulasan daring, termasuk tentang destinasi wisata. Salah satu destinasi wisata yang banyak mendapat perhatian di Kabupaten Sumenep adalah Pantai Sembilan. Banyaknya ulasan yang tersebar di berbagai platform digital dapat dimanfaatkan untuk mengetahui sentimen atau persepsi pengunjung terhadap objek wisata tersebut. Penelitian ini bertujuan untuk mengetahui nilai performa dari metode Naive Baves Classifer dan mengevaluasi apakah metode Naive Baves Classifer (NBC) dapat mencapai nilai akurasi yang tinggi dengan penerapan teknik smote. Data yang digunakan berupa kumpulan ulasan dari platform google map yang kemudian dilakukan tahap preprocessing seperti case folding, normalisasi, tokenizing, stopword removal, dan stemming. Selanjutnya, dilakukan pelabelan sentimen menjadi positif dan negatif. Karena data cenderung tidak seimbang, digunakan metode SMOTE untuk menyeimbangkan jumlah data antar kelas. Model kemudian dilatih menggunakan algoritma Naive Bayes, dan dievaluasi menggunakan akurasi, presisi, recall, dan f1-score. Hasil penelitian menunjukkan bahwa kombinasi Naive Bayes dan SMOTE mampu meningkatkan akurasi klasifikasi dibandingkan model tanpa SMOTE. Berdasarkan pengujian, diperoleh nilai akurasi sebesar 88%, presisi 96%, recall 98%, dan f1-score 96%. Temuan ini menunjukkan bahwa sebagian besar ulasan terhadap Pantai Sembilan bersifat positif, yang mengindikasikan kepuasan pengunjung terhadap fasilitas dan keindahan pantai.</t>
  </si>
  <si>
    <t>Andharini Dwi Cahyani</t>
  </si>
  <si>
    <t>Dwi Kuswanto</t>
  </si>
  <si>
    <t>PENERAPAN ALGORITMA NAÏVE BAYES CLASSIFIER UNTUK KLASIFIKASI TEKS PADA PORTAL TUGAS AKHIR BERDASARKAN BIDANG MINAT</t>
  </si>
  <si>
    <t>Portal Tugas Akhir adalah sistem informasi berbasis web yang menampilkan data berkaitan dengan skripsi dan tugas akhir di Universitas Trunojoyo Madura. Penelitian ini terfokuskan pada data abtrak yang ada pada karya ilmiah teknik infromatika. Berdasarkan hasil observasi terhadap fitur Portal Tugas Akhir, diketahui bahwa judul yang ada belum terklasifikasi berdasarkan bidang minat pada abstraknya. Tujuan penelitian ini adalah untuk menerapkan dan menguji performa algoritma naive bayes classifier dalam mengklasifikasi bidang minat pada abtrak yang ada di karya ilmiah teknik informatika. Proses klasifikasi melibatkan langkah-langkah preprocessing yang meliputi cleaning, tokenisasi, stopword removal, dan pembobotan TF-IDF untuk mengubah teks menjadi representasi numerik. Model naive bayes classifier digunakan karena pada segi komputasi yang ringan. Hasil penelitian ini diharapkan memberikan akurasi, presisi, recall, dan f1-score dalam klasifikasi teks pada bidang minat, Hasil eksperimen menunjukkan bahwa metode NBC mampu mencapai tingkat akurasi yang memuaskan, dengan nilai akurasi 87,87% dengan menggunakan SMOTE dalam klasifikasi teks portal tugas akhir beradasarkan bidang minat. Penelitian ini memberikan kontribusi signifikan dalam penerapan metode NBC untuk pengolahan teks berbahasa Indonesia, khususnya dalam lingkup pada portal tugas akhir.</t>
  </si>
  <si>
    <t xml:space="preserve">Yoga Dwitya Pramudita </t>
  </si>
  <si>
    <t>Arik Kurniawati</t>
  </si>
  <si>
    <t xml:space="preserve">DEVI DWI NOVITASARI </t>
  </si>
  <si>
    <t>Forecasting</t>
  </si>
  <si>
    <t>IMPLEMENTASI METODE CEEMDAN–ELM DENGAN OPTIMASI PSO UNTUK PREDIKSI JUMLAH KUNJUNGAN WISATAWAN NUSANTARA DI KABUPATEN LAMONGAN</t>
  </si>
  <si>
    <t>Sektor pariwisata memiliki kontribusi penting terhadap pertumbuhan ekonomi daerah melalui peningkatan GDP dan PAD, sehingga diperlukan pemodelan jumlah kunjungan wisatawan yang akurat untuk mendukung perencanaan dan pengambilan keputusan. Data kunjungan wisata umumnya bersifat non-linear dan fluktuatif, sehingga penelitian ini mengusulkan model gabungan CEEMDAN, ELM, dan PSO. Metode CEEMDAN digunakan untuk mendekomposisi data, ELM sebagai model prediksi, dan PSO untuk mengoptimalkan parameter ELM. Dataset yang digunakan mencakup delapan objek wisata di Kabupaten Lamongan periode 2015&amp;ndash;2025 dengan total 1.056 data. Evaluasi kinerja model dilakukan menggunakan MAPE pada data uji. Hasil penelitian menunjukkan bahwa metode CEEMDAN&amp;ndash;ELM&amp;ndash;PSO mampu menghasilkan tingkat kesalahan prediksi yang rendah, dengan nilai MAPE uji sebesar 1,27% pada Wisata Brumbun, 6,69% pada Wisata Goa Maharani, 0,19% pada Wisata Makam Sendang Duwur, 6,09% pada Wisata Makam Sunan Drajat, 0,69% pada Wisata Monumen Van Der Wijk, 5,32% pada Wisata Museum Sunan Drajat, 1,08% pada Wisata Waduk Gondang, dan 5,97% pada Wisata Bahari Lamongan. Hasil ini menunjukkan bahwa integrasi CEEMDAN&amp;ndash;ELM&amp;ndash;PSO efektif dalam meningkatkan akurasi prediksi kunjungan wisatawan dan berpotensi digunakan sebagai pendukung perencanaan pariwisata daerah.</t>
  </si>
  <si>
    <t>M. UBAIDILLAH</t>
  </si>
  <si>
    <t>Penerapan Smote dan Chi-Square Feature Selection Untuk Meningkatkan Akurasi Multinomial Naive Bayes Dalam Analisis Sentimen Video "Presiden Prabowo Menjawab" Di Youtube</t>
  </si>
  <si>
    <t>Perkembangan platform digital seperti YouTube telah menciptakan ruang publik baru untuk diskusi politik, dimana kolom komentar menjadi cerminan langsung tanggapan masyarakat terhadap konten politik. Penelitian ini menganalisis sentimen publik terhadap video &amp;amp;quot;Presiden Prabowo Menjawab&amp;amp;quot; di YouTube menggunakan algoritma Multinomial Na&amp;iuml;ve Bayes yang dioptimasi dengan seleksi fitur Chi-Square dan teknik SMOTE untuk penanganan ketidakseimbangan data. Data diperoleh melalui web scraping sebanyak 4.649 komentar dari tiga channel YouTube terkemuka. Preprocessing teks dilakukan melalui cleaning, case folding, normalisasi, tokenizing, stopword removal, dan stemming. Hasil penelitian menunjukkan bahwa model mencapai akurasi sebesar 67% dengan precision kelas positif 72% dan recall kelas negatif 81%. Hasil analisis mengungkapkan bahwa model lebih efektif dalam mengidentifikasi komentar negatif dibandingkan positif, yang merefleksikan karakteristik unik pola linguistik dalam diskusi politik di platform digital. Penelitian ini memberikan kontribusi dalam pengembangan sistem analisis sentimen otomatis untuk konten politik serta menjadi dasar untuk pemantauan opini publik di era digital.</t>
  </si>
  <si>
    <t>Fitri Damayanti</t>
  </si>
  <si>
    <t>Firli Irhamni</t>
  </si>
  <si>
    <t xml:space="preserve">MOCH.AFIFUDDIN </t>
  </si>
  <si>
    <t>Klasifikasi Teks Ulasan Film Berbahasa Indonesia Menggunakan Metode Naive Bayes dengan Pendekatan Lexicon-Based</t>
  </si>
  <si>
    <t>Ulasan film merupakan salah satu bentuk data yang memiliki potensi besar untuk dianalisis guna memahami sentimen penonton dan preferensi mereka terhadap sebuah film. kaskus adalah sebuah situs forum online yang menawarkan ruang untuk mencari informasi dan berbagi minat. Salah satu bagian dari forum tersebut adalah forum Movies, yang berisi berbagai film dan ulasan terkait film yang telah ditonton. Klasifikasi teks menjadi langkah penting untuk mengelompokkan ulasan tersebut ke dalam kategori positif dan negatif. Penelitian ini bertujuan untuk mengklasifikasikan teks ulasan film berbahasa Indonesia ke dalam kategori sentimen positif dan negatif menggunakan metode Naive Bayes dengan pendekatan Lexicon-Based. Penelitian ini menggunakan data ulasan film yang dikumpulkan dari situs Kaskus.com. Data yang sudah di kumpulkan kemudian melalui tahapan preprocessing data meliputi case folding, cleaning, tokenisasi, normalisasi, stopwords removal, dan stemming. Selanjutnya, data dibagi menjadi 80:20 data latih dan data uji, dimana setiap data terdiri dari dua kelas yaitu positif dan negatif. Algoritma Naive Bayes, diterapkan untuk membangun model klasifikasi. Evaluasi performa dilakukan menggunakan confusion matrix yang mencakup accuracy, precision, recall, dan F1-score. Berdasarkan hasil klasifikasi. model menghasilkan nilai accuracy sebesar 0,84 dengan nilai precision 0,84 recall 0,84 dan F1-score 0,84. Penelitian ini diharapkan dapat memberikan wawasan mengenai efektivitas pendekatan Lexicon-Based dalam meningkatkan akurasi klasifikasi teks ulasan film serta menjadi referensi bagi pengembang sistem dalam pemrosesan bahasa alami.</t>
  </si>
  <si>
    <t xml:space="preserve">Budi Dwi Satoto </t>
  </si>
  <si>
    <t xml:space="preserve"> Fitri Damayanti </t>
  </si>
  <si>
    <t xml:space="preserve">MOKHAMAD FARISAL ALLIF FUDIN 
</t>
  </si>
  <si>
    <t>PENERAPAN METODE NAÏVE BAYES UNTUK ANALIS SENTIMEN ULASAN DESTINASI PARIWISATA LAMONGAN</t>
  </si>
  <si>
    <t>Dalam era internet dan media baru yang berkembang pesat, berbagai jenisrnplatform telah menjadi sarana utama untuk menyebarkan informasi, termasukrninformasi pariwisata. Salah satu alat penting dalam industri pariwisata adalahrnaplikasi Google Maps. Dalam era Big Data, Google Maps memainkan peranrnkunci dalam mengumpulkan jejak digital para wisatawan yang mengunjungi suaturnlokasi. Jumlah ulasan dan pendapat yang diberikan oleh pengunjung pada aplikasirnini menjadi faktor krusial karena calon wisatawan cenderung mencari informasirnterlebih dahulu di internet. Lamongan merupakan kabupaten di Jawa Timur yangrnmemiliki banyak destinasi wisata, termasuk Wisata Bahari Lamongan(WBL) danrnGoa Maharani &amp;amp;amp; Zoo. Banyaknya pengunjung yang datang, tidak sedikit yangrnmeberikan opini salah satunya pada aplikasi goggle maps. Penelitian ini dilakukanrnuntuk menganalisis sentimen ulasan wisata pada google maps denganrnmenggunakan metode Na&amp;iuml;ve Bayes Multinominal Kelebihan metode Na&amp;iuml;ve Bayesrnadalah dapat mengelolah data dengan jumlah yang besar, serta lebih kecil untukrnterjadinya overfitting. Namun,metode Na&amp;iuml;ve Bayes memiliki kelemahan ketikarnbekerja dengan jumlah fitur yang banyak. Pengambilan data dilakukan denganrnteknik scraping menggunakan Instant data scrapper. Data yang digunakanrnberjumlah 380 ulasan lalu dilakukan ramdom oversampling menjadi 207 data.rnSelanjutnya dilakukan beberapa text preprocessing, yang meliputi, cleaning,rntokenizing, casefolding, Stopword removal, stemming, normalization, sertarnpembobotan kata menggunakan TF-IDF. Hasil terbaik dari pengujian modelrnklasifikasi Na&amp;iuml;ve bayest yaitu dengan menggunakan 5-fold stratified crossrnvalidation, yaitu mencapai akurasi sebesar 91,8% AUC sebesar 0,940, precisionrnsebesar 92,9% recall sebesar 91,8% F1-score sebesar 0,916 MCC sebesar 0,884.rnKlasifikasi Naive Bayes yang dihasilkan terbukti cukup akurat dalamrnmengklasifikasikan berita pariwisata ke dalam Tiga kategori, yaitu positif, negatifrndan netral.</t>
  </si>
  <si>
    <t xml:space="preserve">Hermawan  </t>
  </si>
  <si>
    <t>Firdaus Solihin</t>
  </si>
  <si>
    <t xml:space="preserve">Bain Khusnul Khotimah </t>
  </si>
  <si>
    <t xml:space="preserve">WULAN ALFIYANI </t>
  </si>
  <si>
    <t>Penerapan Algoritma Naïve Bayes untuk Analisis Sentimen pada Media Sosial X terhadap Performa Tim Nasional Sepak Bola Indonesia di Era Kepemimpinan Shin Tae-Yong</t>
  </si>
  <si>
    <t>Sepak bola merupakan olahraga yang paling diminati di Indonesia, dengan 77% penduduk menunjukkan ketertarikan terhadapnya. Selain itu, menurut laporan The Global Digital Football Benchmark mencatat enam klub sepak bola Indonesia masuk dalam daftar 200 klub terpopuler dunia. Platform media sosial X berperan sebagai sarana utama bagi masyarakat dalam menngekspresikan opini, termasuk opini terkait performa Tim Nasional Indonesia. Penelitian ini menganalisis sentimen masyarakat terhadap kinerja Tim Nasional Indonesia selama masa kepelatihan Shin Tae-yong. Data berupa 393 tweet diklasifikasikan ke dalam sentimen positif dan negatif menggunakan algoritma Naive Bayes. Sebelum analisis, data diproses melalui tahapan seperti cleaning, tokenize, transform cases, stopword removal dan filtering untuk meningkatkan akurasi. Hasil penelitian menunjukkan bahwa algoritma Naive Bayes mencapai tingkat akurasi yang sangat tinggi, yaitu 98,73%, dengan precision 100, 00% (positive class : positif) dan recall 97,50% (positive class : positif), menandakan bahwa na&amp;iuml;ve bayes mampu mengklasifikasikan tweet dengan sangat baik. Dari 393 tweet yang dianalisis, sentimen positif lebih dominan dengan 50,9% atau 200 tweet, sedangkan sentimen negatif sebanyak 49,1% atau 193 tweet, menunjukkan bahwa opini terhadap topik yang diteliti cukup seimbang, meskipun lebih condong ke arah yang positif. Penelitian ini memberikan pemahaman mendalam mengenai persepsi masyarakat terhadap kinerja Tim Nasional di bawah kepemimpinan Shin Tae-yong.</t>
  </si>
  <si>
    <t>Budi Dwi Satoto</t>
  </si>
  <si>
    <t>Yeni Kustiyahningsih</t>
  </si>
  <si>
    <t>ERVIN FEBRIANSYAH</t>
  </si>
  <si>
    <t>PENERAPAN ALGORITMA NAIVE BAYES UNTUK KLASIFIKASI STATUS KEMISKINAN KABUPATEN/KOTA DI INDONESIA</t>
  </si>
  <si>
    <t>Proses klasifikasi diawali dengan pembersihan data (data cleaning) untuk memastikan bahwa seluruh atribut numerik, seperti persentase penduduk miskin, pengeluaran per kapita, tingkat pengangguran terbuka, dan Indeks Pembangunan Manusia (IPM), berada dalam format yang sesuai agar dapat diproses optimal menggunakan aplikasi Orange. Setelah data dinyatakan bersih, algoritma Naive Bayes dipilih karena kemampuannya dalam mengolah data secara cepat, efisien, dan memberikan hasil klasifikasi yang kompetitif. Evaluasi model dilakukan menggunakan dua metode, yaitu 5-Fold Cross-Validation dan 10-Fold Cross- Validation, untuk memperoleh hasil yang stabil dan representatif. Berdasarkan evaluasi dari widget Test &amp;amp;amp; Score pada Orange, model Naive Bayes dengan 5-Fold Cross-Validation menghasilkan akurasi 89,8%, AUC 0,938, precision 0,952, recall 0,898, F1-score 0,909, dan MCC 0,652. Sedangkan dengan 10-Fold Cross- Validation, diperoleh akurasi yang sama sebesar 89,8%, AUC 0,936, precision 0,926, recall 0,898, F1-score 0,908, dan MCC 0,612. Hasil ini menunjukkan bahwa performa model relatif stabil, dengan 5-fold memberikan hasil yang sedikit lebih baik pada precision dan MCC. Hasil Confusion Matrix dari pengujian terhadap 364 data uji menunjukkan bahwa model berhasil mengklasifikasikan 291 data &amp;ldquo;Tidak Miskin&amp;rdquo; dan 36 data &amp;ldquo;Miskin&amp;rdquo; secara benar. Namun, terdapat 32 data &amp;ldquo;Tidak Miskin&amp;rdquo; yang salah diklasifikasikan sebagai &amp;ldquo;Miskin&amp;rdquo; dan 5 data &amp;ldquo;Miskin&amp;rdquo; yang salah diklasifikasikan sebagai &amp;ldquo;Tidak Miskin&amp;rdquo;, dengan total kesalahan prediksi 37 data. Akurasi aktual dari pengujian ini adalah 89,8%, sesuai dengan hasil evaluasi cross-validation. Dari keseluruhan hasil tersebut, dapat disimpulkan bahwa algoritma Naive Bayes mampu mengklasifikasikan status kemiskinan dengan performa yang baik, ditunjukkan oleh nilai AUC yang tinggi, precision dan recall yang seimbang, serta akurasi yang konsisten. Oleh karena itu, model ini layak digunakan untuk analisis klasifikasi status kemiskinan pada data yang digunakan dalam penelitian ini.</t>
  </si>
  <si>
    <t xml:space="preserve">Mula'ab </t>
  </si>
  <si>
    <t>Ika Oktavia Suzanti</t>
  </si>
  <si>
    <t xml:space="preserve">Moch. Kautsar Sophan </t>
  </si>
  <si>
    <t xml:space="preserve">ADAM TIO PRAYOGI </t>
  </si>
  <si>
    <t>KLASIFIKASI KELULUSAN MAHASISWA MENGGUNAKAN METODE NAIVE BAYES</t>
  </si>
  <si>
    <t>Penelitian ini bertujuan untuk mengevaluasi efektivitas metode Na&amp;iuml;ve Bayes dalam memprediksi status kelulusan mahasiswa, yakni antara kategori dropout dan graduate. Data yang digunakan berasal dari dataset historis mahasiswa dengan jumlah fitur yang beragam, mencakup aspek akademik, demografis, dan ekonomi. Penelitian menguji performa model klasifikasi dengan tiga skenario pembagian data uji coba yakni 60:40, 70:30, dan 80:20. Evaluasi dilakukan dengan menggunakan metrik akurasi, precision, recall, F1-score, serta analisis confusion matrix sebagai indikator kelas prediksi benar dan salah untuk tiap kategori. Hasil pengujian memperlihatkan 60:40 dengan hasil akurasi mencapai 84.92%, 70:30 mencapai 85.22%, dan 80:20 akurasinya mencapai 85.67% dengan demikian model Na&amp;iuml;ve Bayes mampu memberikan prediksi yang cukup akurat pada ketiga skenario, dengan performa terbaik dicapai pada skenario 60:40 yang menunjukkan keseimbangan optimal antara data pelatihan dan pengujian. Meskipun demikian, model masih menunjukkan sejumlah kesalahan klasifikasi yang mayoritas berasal pada bagian kelas dropout, sehingga diperlukan perhatian lebih dalam pengolahan data dan teknik balancing. Penelitian ini memberikan kontribusi dalam pengembangan sistem pendukung keputusan akademik berbasis data yang dapat membantu institusi pendidikan tinggi dalam melakukan identifikasi dini terhadap mahasiswa berisiko dropout, sehingga intervensi dan kebijakan dapat dilakukan secara lebih efektif.</t>
  </si>
  <si>
    <t xml:space="preserve"> Ika Oktavia Suzanti</t>
  </si>
  <si>
    <t>HILMIS SHOLEH</t>
  </si>
  <si>
    <t>Sistem Rekomendasi</t>
  </si>
  <si>
    <t>IMPLEMENTASI USER BASED COLLABORATIVE FILTERING DENGAN COSINE SIMILARITY PADA SISTEM REKOMENDASI FILM</t>
  </si>
  <si>
    <t>Yudha Dwi Putra Negara</t>
  </si>
  <si>
    <t>AKHMAD HELMI IRFANSAH</t>
  </si>
  <si>
    <t>Sistem Rekomendasi Destinasi Wisata Madura Menggunakan Metode Collaborative Filtering</t>
  </si>
  <si>
    <t>Penelitian ini bertujuan untuk mengembangkan sistem rekomendasi destinasi wisata di Pulau Madura menggunakan metode Item-based Collaborative Filtering. Sistem ini dirancang untuk memberikan rekomendasi wisata yang relevan dengan preferensi pengguna berdasarkan rating yang diberikan oleh wisatawan sebelumnya. Metode ini menghitung kemiripan antar destinasi wisata dengan menggunakan algoritma Adjusted Cosine Similarity, yang kemudian digunakan untuk memprediksi rating destinasi yang belum dinilai oleh pengguna. Hasil penelitian menunjukkan bahwa sistem ini mampu memberikan prediksi yang akurat, dengan Mean Absolute Error (MAE) sebesar 0,37 dan Mean Absolute Percentage Error (MAPE) sebesar 10,88%. Sistem ini diimplementasikan dalam bentuk aplikasi berbasis web menggunakan framework Laravel dengan frontend yang didukung oleh Tailwind CSS dan DaisyUI dengan antarmuka yang ramah pengguna, serta basis data MySQL. Sistem ini berjalan dengan lancar dan efektif untuk membantu wisatawan menemukan destinasi wisata yang sesuai dengan preferensi mereka dan berpotensi meningkatkan kunjungan pariwisata di Madura. Untuk pengembangan selanjutnya, sistem dapat ditingkatkan dengan menangani masalah cold-start agar pengguna baru juga mendapatkan rekomendasi yang akurat sejak awal.</t>
  </si>
  <si>
    <t>Yeni Kustiyaningsih</t>
  </si>
  <si>
    <t>Firmansyah Adiputra</t>
  </si>
  <si>
    <t xml:space="preserve"> IQBAL MAULANA PUTRA </t>
  </si>
  <si>
    <t>SISTEM REKOMENDASI TOPIK SKRIPSI MENGGUNAKAN METODE CONTENT BASED FILTERING DAN COSINE SIMILARITY (STUDI KASUS : PROGRAM STUDI SISTEM INFORMASI</t>
  </si>
  <si>
    <t>Skripsi merupakan salah satu syarat penting bagi mahasiswa program sarjana untuk meraih kelulusan. Dalam menyusun skripsi, mahasiswa memerlukan banyak referensi sebagai acuan penelitian. Library Trunojoyo adalah platform perpustakaan online Universitas Trunojoyo Madura yang menyediakan jurnal, tugas akhir, skripsi, dan buku. Namun, mahasiswa sering kesulitan menemukan skripsi yang relevan karena terlalu banyaknya skripsi yang ditampilkan, keterbatasan fitur pencarian, yang hanya berdasarkan judul, serta tidak adanya filter program studi. Oleh karena itu, penelitian ini mengimplementasikan sistem rekomendasi berbasis content-based filtering dengan memanfaatkan cosine similarity untuk membantu mahasiswa menemukan skripsi yang sesuai berdasarkan judul dan isi abstrak. Penelitian ini menggunakan data skripsi Program Studi Sistem Informasi dari angkatan 2016&amp;ndash;2019 yang terdiri dari 204 skripsi. Data yang digunakan adalah judul dan abstrak dari skripsi, yang telah melalui proses natural language processing (NLP) berupa pembobotan kata menggunakan metode TF-IDF untuk menghitung relevansi antar dokumen. Sistem menampilkan rekomendasi berdasarkan skor cosine similarity tertinggi, sehingga mahasiswa dapat menemukan skripsi yang relevan dengan topik yang diminati.Hasil evaluasi menggunakan 3 skenario pengujian dengan melakukan 2 percobaan pada setiap skenario, menunjukkan sistem memberikan rekomendasi dengan rata-rata presisi 90,63%. Sistem ini mampu memeringkatkan skripsi yang relevan berdasarkan judul dan abstrak, sehingga membantu mahasiswa mendapatkan referensi penelitian yang lebih spesifik dan terfokus.</t>
  </si>
  <si>
    <t xml:space="preserve">Muhammad Yusuf  </t>
  </si>
  <si>
    <t xml:space="preserve">Ali Syakur </t>
  </si>
  <si>
    <t xml:space="preserve">CHENDY TRI WARDANI </t>
  </si>
  <si>
    <t>SISTEM REKOMENDASI PENGEMBANGAN COLLABORATIVE FILTERING MENGGUNAKAN ALGORITMA CONVOLUTIONAL NEURAL NETWORK UNTUK REKOMENDASI TEMPAT RESTORAN</t>
  </si>
  <si>
    <t>Perkembangan teknologi komputer dapat memudahkan pengguna untuk menentukan pilihan, terlebih lagi dalam dunia kuliner. Pilihan yang ditawarkan seringkali membuat pengguna tidak dapat menentukan pilihan, karena banyaknya pilihan barang atau produk yang ditawarkan. Untuk mengatasi hal tersebut seringkali pengguna membutuhkan sistem rekomendasi untuk menentukan pilihannya. Sistem rekomendasi yang paling tepat yaitu sistem rekomendasi hybrid aproaches yang menggabungkan beberapa metode rekomendasi. Deep Neural Network (DNN) dapat mengatasi masalah sistem rekomendasi seperti sparsity data dan cold-start salah satu algoritma yang dapat digunakan yaitu Convolutional Neural Network (CNN). Arsitektur model yang digunakan yaitu pengembangan CF menggunakan algoritma CNN. Pendekatan CNN digunakan karena pada penelitian sebelumnya model CNNCF dalam pengujian mendapatkan nilai akurasi paling tinggi dalam menentukan rekomendasi dan mendapatkan nilai eror paling rendah daripada model lainnya yang diukur menggunakan Root Mean Squared Error (RMSE). Hasil eksperimen menunjukan bahwa permasalahan yang ada pada sistem rekomendasi yaitu sparsitas data menyebabkan data mengalami overfitting dan model mendapatkan nilai RMSE yang tinggi. Untuk meminimalisir overfitting dengan menerapkan l2 regularization pada model. Hasil eksperimen menunjukan bahwa model terbaik yaitu dengan menerapkan L2 Regularization mendapatkan nilai RMSE sebesar 1.179397. Sedangkan. penanganan permasalahan pada cold-start diatasi dengan pendekatan hybrid pada metode rekomendasi, dimana melakukan penambahan atribut sebagai inputan didalamnya untuk mendapatkan informasi yang lebih mendetail mengenai pengguna dan restoran. Hal ini bertujuan untuk mendapatkan hasil rekomendasi CF yang lebih akurat dan personal.</t>
  </si>
  <si>
    <t xml:space="preserve">Noor Ifada </t>
  </si>
  <si>
    <t xml:space="preserve">Arik Kurniawati </t>
  </si>
  <si>
    <t xml:space="preserve">Yeni Kustiyahningsih </t>
  </si>
  <si>
    <t>MUHAMMAD NADDA KHATANI</t>
  </si>
  <si>
    <t>KLASIFIKASI PENYAKIT PADA DAUN CABAI JAMU MENGGUNAKAN METODE INCEPTIONV3</t>
  </si>
  <si>
    <t>Dalam era digital saat ini, klasifikasi citra memegang peranan penting dalam sistem berbasis kecerdasan buatan. Proses ini memungkinkan sistem untuk secara otomatis mengidentifikasi objek dalam citra berdasarkan pola atau karakteristik visual tertentu. Permasalahan dalam penelitian ini berkaitan dengan pemilihan metode klasifikasi citra yang paling sesuai untuk mengidentifikasi penyakit pada daun cabai jamu, yang memiliki kemiripan visual antar kondisi. Selain itu, citra daun cabai jamu yang diperoleh langsung dari kamera masih berupa data mentah sehingga memerlukan proses penyeragaman agar dapat masuk ke arsitektur model klasifikasi citra secara optimal. Oleh karena itu, diperlukan suatu sistem yang mampu mengekstraksi fitur visual secara optimal dan konsisten, sehingga proses klasifikasi penyakit pada daun cabai jamu dapat dilakukan secara lebih efektif dan akurat. Penelitian ini menggunakan total 384 data citra yang terbagi ke dalam tiga kelas, yaitu 147 data daun sehat, 107 data bercak daun, dan 130 data keriting daun. Data citra tersebut selanjutnya diproses menggunakan metode Convolutional Neural Network (CNN) dengan arsitektur InceptionV3. Tahapan pra-pemrosesan yang diterapkan dalam penelitian ini meliputi augmentasi data, penerapan bounding box, perubahan ukuran citra menjadi 299&amp;times;299 piksel, serta penyimpanan data dalam format npz. Beberapa skenario pengujian dilakukan dengan variasi nilai learning rate, epoch, dan batch size, yang menghasilkan performa model yang berbeda-beda. Hasil evaluasi menunjukkan bahwa setiap skenario pengujian menghasilkan tingkat performa model yang bervariasi. Nilai accuracy tertinggi diperoleh pada skenario dengan learning rate sebesar 0.0001, epoch sebanyak 50, dan batch size 32, yaitu mencapai 95,23%, dengan hasil prediksi yang konsisten pada masing-masing kelas berdasarkan analisis confusion matrix. Model yang dihasilkan mampu mengklasifikasikan daun sehat, bercak daun, dan keriting daun dengan tingkat akurasi yang tinggi serta tingkat kesalahan klasifikasi yang relatif rendah.</t>
  </si>
  <si>
    <t>Yoga Dwitya Pramudita</t>
  </si>
  <si>
    <t xml:space="preserve">Rika Yunitarini </t>
  </si>
  <si>
    <t xml:space="preserve">ALYAN MUHAMMAD DAINURY ISKANDAR </t>
  </si>
  <si>
    <t>KLASIFIKASI PENYAKIT STROKE MENGGUNAKAN METODE CLASS WEIGHT RANDOM FOREST</t>
  </si>
  <si>
    <t>Stroke merupakan kondisi medis akibat terganggunya aliran darah ke otak yang dapat menyebabkan kecacatan hingga kematian. Permasalahan utama dalam klasifikasi penyakit stroke adalah ketidakseimbangan data antara kelas No Stroke dan Stroke. Penelitian ini bertujuan menerapkan Class Weight Random Forest sebagai metode utama untuk klasifikasi penyakit stroke serta membandingkannya dengan Synthetic Minority Over-sampling Technique (SMOTE) sebagai metode pembanding. Dataset yang digunakan berasal dari Kaggle Stroke Prediction Dataset dengan 5.110 data dan 11 fitur, melalui tahapan data preprocessing, normalisasi, dan pembagian data menggunakan stratified train-test split. Evaluasi kinerja model dilakukan menggunakan confusion matrix, classification report, dan ROC Curve dengan metrik akurasi, precision, recall, F1-score, dan AUC. Hasil penelitian menunjukkan bahwa Class Weight Random Forest mampu meningkatkan deteksi kelas Stroke pada data tidak seimbang. Namun, skenario pembanding dengan SMOTE menghasilkan performa yang lebih seimbang dengan nilai akurasi sebesar 95%, precision, recall, dan F1-score sebesar 95%, serta AUC sebesar 0.988. Dengan demikian, Class Weight Random Forest efektif sebagai metode utama, sementara SMOTE berperan sebagai pendekatan pembanding untuk meningkatkan keseimbangan performa klasifikasi.</t>
  </si>
  <si>
    <t xml:space="preserve">Indah Agustien Siradjudin  </t>
  </si>
  <si>
    <t xml:space="preserve">Yonathan Ferry Hendrawan </t>
  </si>
  <si>
    <t xml:space="preserve">ANISYAFAAH </t>
  </si>
  <si>
    <t>KLASIFIKASI PENYAKIT AYAM BROILER MENGGUNAKAN METODE TRANSFORMER DENGAN ARSITEKTUR SWIN TRANSFORMER</t>
  </si>
  <si>
    <t>Permintaan terhadap ayam broiler di Indonesia terus meningkat, namun kondisi tersebut juga meningkatkan risiko penyakit seperti Coccidiosis, Salmonellosis, dan Newcastle Disease yang dapat menurunkan produktivitas peternakan. Deteksi penyakit pada ayam broiler umumnya masih dilakukan secara manual melalui pengamatan visual, sehingga dapat menimbulkan kesalahan identifikasi dalam penanganan penyakit. Penelitian ini bertujuan membangun sistem klasifikasi penyakit ayam broiler berbasis citra feses menggunakan arsitektur Swin Transformer serta menganalisis waktu inferensi model. Dataset yang digunakan sebanyak 6.812 citra data sekunder yang terbagi dalam empat kelas, dengan pembagian 80% data pelatihan, 20% data validasi, dan 133 citra data primer sebagai data uji. Pelatihan model dilakukan dengan batch size 32 menggunakan empat skenario kombinasi optimizer Adam dan SGD dengan variasi learning rate 0,001 dan 0,0001. Hasil penelitian menunjukkan bahwa model terbaik diperoleh pada penggunaan optimizer SGD dengan learning rate 0,0001 dengan akurasi 83% serta nilai rata-rata precision 86%, recall 84%, dan f1-score 84%. Model juga memiliki waktu inferensi yang cepat, yaitu 0,1931 detik per batch dan 0,0072 detik per gambar pada konfigurasi terbaik. Model kemudian diimplementasikan dalam aplikasi berbasis web menggunakan Streamlit untuk mendeteksi penyakit ayam broiler secara akurat, efisien, dan layak diterapkan sebagai sistem deteksi dini berbasis citra feses.</t>
  </si>
  <si>
    <t>Rosida Vivin Nahari</t>
  </si>
  <si>
    <t xml:space="preserve"> Imamah</t>
  </si>
  <si>
    <t>ACHMAD TEGAR NASRULLAH</t>
  </si>
  <si>
    <t xml:space="preserve">Data Science </t>
  </si>
  <si>
    <t>Klasifikasi Komentar Toxic Pada Sosial Media Menggunakan Model Long Short Term Memory (LSTM)</t>
  </si>
  <si>
    <t>Perkembangan pesat media sosial meningkatkan interaksi digital yang juga diwarnai komentar Toxic yang merusak kualitas komunikasi dan kenyamanan pengguna. Oleh karena itu, deteksi otomatis komentar Toxic menjadi kebutuhan penting untuk mendukung pengelolaan konten secara efektif. Penelitian ini bertujuan mengembangkan model klasifikasi komentar Toxic serta mengukur akurasi dan performa Long Short-Term Memory (LSTM) dalam klasifikasi multi-label menggunakan 10.146 data hasil crawling dan scraping dari Twitter dan Instagram. Metode yang digunakan adalah LSTM dengan pendekatan multi-label. Tahapan penelitian meliputi preprocessing data, embedding kata, pelatihan model, serta evaluasi menggunakan metrik akurasi, precision, recall, dan F1-score. LSTM dipilih karena mampu mengingat konteks urutan kata dan menangani data sekuensial panjang secara efektif. Hasil penelitian menunjukkan model mampu memberikan prediksi yang tepat dan andal. Evaluasi menunjukkan metode tanpa Undersampling memperoleh micro average F1-score 0,53, macro average 0,41, dan weighted average 0,54, lebih tinggi dibandingkan metode dengan Undersampling. Penelitian ini juga diimplementasikan dalam antarmuka web interaktif menggunakan Streamlit yang dapat diakses publik melalui Ngrok.</t>
  </si>
  <si>
    <t xml:space="preserve">Eza Rahmanita </t>
  </si>
  <si>
    <t xml:space="preserve">AHMAD NASRUDIN JAMIL </t>
  </si>
  <si>
    <t>KLASIFIKASI CITRA MRI PADA ANAK PENDERITA ADHD MENGGUNAKAN DILATED 3D CNN DENGAN CONVOLUTIONAL BLOCK ATTENTION MODULE (CBAM)</t>
  </si>
  <si>
    <t>Attention Deficit Hyperactivity Disorder (ADHD) merupakan gangguan perkembangan saraf yang ditandai dengan inatensi, hiperaktivitas, dan impulsivitas. Diagnosis klinis ADHD masih bergantung pada observasi perilaku, sehingga diperlukan pendekatan objektif berbasis neuroimaging. Penelitian ini memanfaatkan citra Structural Magnetic Resonance Imaging (sMRI) untuk klasifikasi ADHD menggunakan dataset ADHD-200 dari International Neuroimaging Data-sharing Initiative (INDI) dengan dua kelas, yaitu Typically Developing Children (TDC) dan ADHD. Untuk mengatasi keterbatasan model baseline 3D Convolutional Neural Network (CNN) dalam menangkap informasi spasial yang luas, penelitian ini mengusulkan penambahan Dilated Convolution dan Convolutional Block Attention Module (CBAM). Evaluasi dilakukan menggunakan k-fold cross-validation dengan metrik accuracy, precision, recall, dan F1-score. Hasil pengujian menunjukkan bahwa performa terbaik diperoleh pada learning rate 0.00001. Model baseline 3D CNN mencapai nilai rata-rata accuracy dan recall sebesar 71%, serta precision dan F1-score sebesar 70%. Penambahan Dilated Convolution meningkatkan performa menjadi 72% pada accuracy dan recall, serta 71% pada precision dan F1-score. Selanjutnya, integrasi CBAM memberikan peningkatan lebih lanjut dengan nilai rata-rata accuracy dan recall sebesar 73%, serta precision dan F1-score sebesar 72%. Hasil ini menunjukkan bahwa kombinasi 3D CNN, Dilated Convolution, dan CBAM efektif dan stabil dalam meningkatkan performa klasifikasi citra sMRI untuk membedakan kelas ADHD dan TDC</t>
  </si>
  <si>
    <t>Hermawan</t>
  </si>
  <si>
    <t xml:space="preserve">Abdullah Basuki Rahmat </t>
  </si>
  <si>
    <t xml:space="preserve">Kurniawan Eka Permana </t>
  </si>
  <si>
    <t xml:space="preserve">ACHMAD AINOER YAKIN </t>
  </si>
  <si>
    <t>KLASIFIKASI SAPI MADURA DENGAN PENYEIMBANG DATA SMOTE MENGGUNAKAN METODE K-NEAREST NEIGHBORS (KNN)</t>
  </si>
  <si>
    <t>Sapi Madura sebagai salah satu ras asli dari Pulau Madura telah lama menjadi bagian darirnkehidupan masyarakat lokal baik sebagai sumber pangan maupun penggerak ekonomi. Dalamrnpengelompokkan data terkait kerapan sapi, terjadi ketidakseimbangan data (data imbalance)rnsehingga menyebabkan model cenderung mengklasifikasikan data ke dalam kelas mayoritas danrnmengabaikan kelas minoritas. Tujuan dari penelitian ini adalah mengetahui hasil klasifikasirndengan menggunakan algoritma K-Nearest Neighbor (KNN) dan teknik penyeimbang datarnSynthetic Minority Over-sampling Technique (SMOTE). Algoritma KNN dipilih karenarnmerupakan algoritma klasifikasi berbasis jarak yang bekerja dengan membandingkan data barurnterhadap sejumlah k terdekat dalam data latih, sedangkan SMOTE digunakan untuk mengatasirnketidakseimbangan data yang dapat menyebabkan bias model terhadap kelas mayoritas. Metodernpenelitian ini meliputi pengumpulan dataset sapi Madura, preprocessing data, penerapan SMOTE,rnpelatihan model dengan KNN, serta evaluasi kinerja menggunakan metrik akurasi, presisi, recall,rndan F1-score. Berdasarkan hasil penelitian dapat disimpulkan bahwa performa model KNN danrnKNN-SMOTE dipengaruhi oleh nilai K, penggunaan SMOTE, serta pembagian data latih dan uji.rnPada KNN, akurasi tertinggi pada pembagian 80:20 dicapai pada K 5 dan K 7 sebesar 0,850,rnsedangkan pada pembagian 60:40 akurasi terbaik diperoleh pada K 3 sebesar 0,857. Sedangkanrnpada KNN-SMOTE menunjukkan peningkatan akurasi, di mana pada pembagian 80:20 nilairntertinggi diperoleh pada K 9 sebesar 0,857, dan pada pembagian 60:40 akurasi terbaik dicapairnpada K 3 sebesar 0,871, yang merupakan akurasi tertinggi dari seluruh percobaan yangrndilakukan. Dengan demikian, model KNN-SMOTE dengan pembagian data 60:40 dan K 3rnmenunjukkan performa terbaik.</t>
  </si>
  <si>
    <t xml:space="preserve">Dwi Kuswanto </t>
  </si>
  <si>
    <t xml:space="preserve">MOHAMMAD HASAN BASRI </t>
  </si>
  <si>
    <t>PERBANDINGAN METODE TRANSFER LEARNING DAN TRAINING PADA ARSITEKTUR MODEL VGG16 UNTUK KLASIFIKASI PENYAKIT PARU</t>
  </si>
  <si>
    <t>Penyakit paru-paru seperti pneumonia, tuberkulosis, dan COVID-19 merupakan ancaman kesehatan Global yang memerlukan diagnosis secara cepat untuk meningkatkan peluang kesembuhan pasien. Penggunaan citra X-ray dada sering kali menghadapi kendala dalam analisis manual yang membutuhkan waktu lama. Penelitian ini mengembangkan sistem deteksi otomatis berbasis CNN VGG16 untuk membandingkan efektivitas metode Transfer learning dan Training. Menggunakan dataset seimbang sebanyak 4.000 citra X-ray, Transfer learning diterapkan dengan bobot ImageNet, sedangkan Training melatih model dari awal. Hasil pengujian menunjukkan Transfer learning unggul signifikan dengan akurasi 95% dan efisiensi waktu 48 detik/epoch, dibandingkan Training yang mencapai akurasi 93% dengan waktu 70 detik/epoch. Disimpulkan bahwa Transfer learning adalah metode paling efektif untuk dataset terbatas. Hasil penelitian ini diimplementasikan dalam aplikasi web berbasis Streamlit untuk mendukung diagnosis medis.</t>
  </si>
  <si>
    <t>Rima Tri Wahyuningrum</t>
  </si>
  <si>
    <t>ACHMAD HABIBUL WILDAN SYAIFULLOH</t>
  </si>
  <si>
    <t>INTEGRASI TRANSFER LEARNING EFFICIENTNET-B3 DENGAN METODE EXPLAINABLE AI UNTUK KLASIFIKASI ACUTE LYMPHOBLASTIC LEUKEMIA (ALL)</t>
  </si>
  <si>
    <t>Leukemia merupakan penyakit keganasan darah yang berfokus pada gangguan pembentukan sel di sumsum tulang dan limfosit. Di antara berbagai jenisnya, Acute Lymphoblastic Leukemia (ALL) menjadi varian yang paling sering menyerang anak-anak, yang ditandai dengan proliferasi sel limfoblas abnormal yang menghambat produksi sel darah sehat. Metode diagnosis konvensional melalui pengamatan mikroskopis hingga kini masih memiliki keterbatasan, terutama terkait durasi analisis yang lama serta adanya subjektivitas atau variasi penilaian antar tenaga medis. Penelitian ini mengusulkan solusi berbasis kecerdasan buatan menggunakan arsitekturr Transfer Learning EfficientNetB3 dengan integrasi bobot pelatih ImageNet yang telah disesuaikan melalui proses fine-tuning. Untuk menjamin transparansi sistem, metode Explainable Artificial Intelligence (XAI) diterapkan guna memvisualisasikan area sel yang paling krusial dalam proses pengambilan keputusan klasifikasi.rnHasil evaluasi menunjukkan bahwa model mencapai performa yang sangat tinggi dengan akurasi 99,23% dan presisi 99,23%. Berdasarkan pengujian matrixs fungsional XAI, metode Score-CAM menunjukkan tingkat keandalan paling optimal dengan nilai deletion rata-rata terendah sebesar 35,55% dan insertion rata-rata sebesar 48,23%. Capaian ini menegaskan bahwa fitur-fitur morfologi yang diidentifikasi oleh model memiliki relevansi klinis yang kuat terhadap karakteristik sel limfoblas, sehingga sistem ini layak dipertimbangkan sebagai alat bantu pendukung keputusan bagi tenaga medis dalam diagnosis ALL.</t>
  </si>
  <si>
    <t xml:space="preserve">Andarini Dwi Cahyani </t>
  </si>
  <si>
    <t xml:space="preserve">MAULANA FAIZAL FARDANI </t>
  </si>
  <si>
    <t>KLASIFIKASI ULASAN NEGATIF ​​KASUS PERTAMAX OPLOSAN PADA MEDIA SOSIAL TWITTER(X) MENGGUNAKAN METODE LONG SHORT TERM MEMORY DAN WORD2VEC</t>
  </si>
  <si>
    <t>Kasus Pertamax oplosan menjadi salah satu isu yang banyak mendapat perhatian masyarakat dan menimbulkan berbagai ulasan negatif di media sosial Twitter (X). Ulasan tersebut mengandung informasi penting mengenai persepsi publik yang dapat dianalisis secara sistematis untuk memahami permasalahan yang terjadi. Penelitian ini bertujuan untuk mengklasifikasikan ulasan negatif terkait kasus Pertamax oplosan ke dalam empat aspek utama, yaitu kualitas bahan bakar, ketidaksesuaian produk, kesalahan pengisian BBM, dan kepercayaan terhadap Pertamina, dengan menggunakan pendekatan deep learning.rn Metode yang digunakan dalam penelitian ini adalah Long Short-Term Memory (LSTM) yang dikombinasikan dengan Word2Vec menggunakan arsitektur Skip-Gram sebagai representasi kata. Dataset diperoleh melalui proses crawling data Twitter (X) menggunakan kata kunci terkait Pertamax oplosan. Sebelum dilakukan pemodelan, data dianalisis menggunakan Exploratory Data Analysis (EDA) untuk mengetahui distribusi data per aspek, bahasa yang digunakan dalam teks, serta variasi panjang tweet. Tahap preprocessing meliputi case folding, cleansing, tokenizing, normalisasi kata, stopword removal, dan stemming. Data kemudian dibagi menjadi data latih dan data uji dengan perbandingan 80% dan 20%.rn Evaluasi kinerja model dilakukan menggunakan metrik accuracy, precision, recall, dan F1-score. Selain itu, dilakukan hyperparameter tuning untuk memperoleh konfigurasi model terbaik. Berdasarkan hasil evaluasi uji, model LSTM dengan Word2Vec menghasilkan nilai accuracy 91,16% pada konfigurasi epoch 10, batch size 32, dropout 0.1, optimizer Adam, dan learning rate 0.0001. Hasil ini menunjukkan bahwa model mampu mengklasifikasikan ulasan negatif kasus Pertamax oplosan dengan kinerja yang cukup baik, meskipun masih terdapat pengaruh ketidakseimbangan distribusi data antar aspek.rn Berdasarkan hasil penelitian, dapat disimpulkan bahwa kombinasi Word2Vec dan LSTM efektif digunakan untuk klasifikasi ulasan negatif berbasis aspek pada media sosial Twitter (X). Penelitian ini diharapkan dapat menjadi referensi bagi pengembangan analisis sentimen berbasis deep learning pada data media sosial.</t>
  </si>
  <si>
    <t xml:space="preserve">AHMAD IRSYAD AMRU ROSYIDI </t>
  </si>
  <si>
    <t xml:space="preserve">Keamanan Infromasi </t>
  </si>
  <si>
    <t>Steganografi End of File Untuk Mengamankan Seed Phrase Crypto Wallet Pada Citra Digital</t>
  </si>
  <si>
    <t>Cryptocurrency telah menjadi alternatif investasi yang populer, namun keamanan penyimpanan aset digital masih menjadi tantangan utama. Seed phrase crypto wallet merupakan kunci akses yang kritis, dan kehilangan atau pencurian seed phrase dapat berakibat fatal bagi pemilik aset kripto. Penelitian ini bertujuan untuk mengimplementasikan metode steganografi End of File (EoF) guna mengamankan seed phrase crypto wallet pada citra digital. Metode penelitian menggunakan teknik steganografi EoF dengan cara menyisipkan seed phrase pada akhir file citra. Proses penyisipan dilakukan dengan mengkonversi seed phrase menjadi nilai desimal dan menambahkannya pada baris pixel terakhir gambar. Pengujian dilakukan dengan menganalisis perubahan pada citra melalui perhitungan Peak Signal-to-Noise Ratio (PSNR), juga kemampuan recovery seed phrase. Dataset yang digunakan terdiri dari citra RGB dan grayscale. Hasil dari penelitian Steganografi dengan menggunakan metode End of File (EOF) dapat menyisipkan seed phrase pada media citra digital dan dapat menampilkan kembali. Hasil penyisipan mengakibatkan sedikit perubahan pada citra dengan nilai PSNR terendah 28,17 dB dan tertinggi 30,21 dB . Citra hasil penyisipan tidak dapat menahan manipulasi serangan, yang menyebabkan seed phrase yang dsisipkan tidak dapat ditampilkan kembali.</t>
  </si>
  <si>
    <t xml:space="preserve">Hermawan </t>
  </si>
  <si>
    <t xml:space="preserve">ACHMAD BAHARUDDIN AKBAR </t>
  </si>
  <si>
    <t>ASPECT-BASED SENTIMENT ANALYSIS PADA ULASAN PRODUK FEMALE DAILY DENGAN LATENT DIRICHLET ALLOCATION MENGGUNAKAN METODE LONG SHORT-TERM MEMORY</t>
  </si>
  <si>
    <t>Perkembangan industri kosmetik di Indonesia mengalami peningkatan pesat seiring meningkatnya partisipasi masyarakat dalam memberikan ulasan produk kecantikan melalui platform digital, salah satunya Female Daily. Ulasan yang bersifat tidak terstruktur dan sering mencakup lebih dari satu aspek dalam satu komentar menyebabkan analisis manual menjadi kurang efektif. Selain itu, penelitian analisis sentimen umumnya masih berfokus pada klasifikasi sentimen secara umum tanpa mempertimbangkan aspek yang dibahas. Penelitian ini menerapkan pendekatan Aspect-Based Sentiment Analysis (ABSA) dengan mengombinasikan metode Latent Dirichlet Allocation (LDA) dan Long Short-Term Memory (LSTM). Hasil pengujian LDA menunjukkan jumlah topik terbaik diperoleh pada k 5 dengan nilai coherence c_v 0,428, yang diinterpretasikan sebagai aspek kemasan, aroma, tekstur, harga, dan efek pemakaian. Klasifikasi sentimen menggunakan metode LSTM pada masing-masing aspek menghasilkan performa tertinggi pada aspek harga dengan akurasi 92,48% pada skenario split data 80:20, 200 unit neuron, epoch 20, dan batch size 32. Aspek efek mencapai akurasi 86,07% menggunakan split data 80:20, 200 unit neuron, epoclh 10, dan batch size 32. Aspek kemasan memperoleh akurasi 84,78% dengan skenario split data 80:20, 100 unit neuron, epoch 20, dan batch size 64. Aspek tekstur mencapai akurasi 78,69% menggunakan split data 80:20, 200 unit neuron, epoch 20, dan batch size 32. Aspek aroma menghasilkan akurasi terendah 78,64% pada split data 80:20, 100 unit neuron, epoch 20, dan batch size 32. Secara keseluruhan, hasil akurasi dipengaruhi oleh jumlah dan proporsi data yang berbeda pada masing-masing aspek untuk penelitian analisis sentimen berbasis aspek pada ulasan pengguna Female Daily.</t>
  </si>
  <si>
    <t>ADZ DZIKRY PRADANA PUTRA</t>
  </si>
  <si>
    <t>ANALISIS SENTIMEN BERBASIS ASPEK PADA ULASAN PENGGUNA FEMALE DAILY MENGGUNAKAN LATENT DIRICHLET ALLOCATION DAN LOGISTIC REGRESSION</t>
  </si>
  <si>
    <t>Ulasan pengguna pada platform Female Daily memuat beragam opini terhadap produk kecantikan yang mencakup berbagai aspek produk. Analisis sentimen secara umum sering kali hanya memberikan gambaran sentimen secara keseluruhan, sehingga kurang mampu merepresentasikan sentimen pengguna terhadap aspek-aspek tertentu yang dibahas dalam ulasan. Oleh karena itu, penelitian ini menerapkan pendekatan Aspect Based Sentiment Analysis (ABSA) untuk menganalisis sentimen pengguna berdasarkan konteks aspek yang muncul dalam ulasan. Identifikasi aspek dilakukan menggunakan metode Latent Dirichlet Allocation (LDA) untuk memetakan Topik utama yang sering dibahas oleh pengguna. Berdasarkan hasil pemodelan Topik, diperoleh lima aspek utama yang menjadi fokus analisis, yaitu Kemasan, Aroma, Tekstur, Harga, dan Efek Pemakaian. Data ulasan yang telah dikelompokkan berdasarkan aspek selanjutnya digunakan dalam proses klasifikasi sentimen menjadi sentimen positif dan negatif. Proses klasifikasi sentimen pada setiap subset data pada aspek dilakukan menggunakan algoritma Logistic Regression dengan berbagai konfigurasi pengujian, termasuk variasi solver, nilai C, rasio data latih dan data uji, serta representasi fitur menggunakan TF-IDF unigram dan bigram. Hasil eksperimen menunjukkan bahwa representasi fitur TF-IDF bigram memberikan performa terbaik pada sebagian besar aspek. Akurasi tertinggi diperoleh pada aspek Harga sebesar 96,24%, diikuti oleh aspek Kemasan sebesar 94,20%, Aroma sebesar 91,82%, Tekstur sebesar 86,65%, dan Efek Pemakaian sebesar 87,48%. Secara keseluruhan, hasil penelitian menunjukkan bahwa kombinasi pemetaan aspek menggunakan LDA dan klasifikasi sentimen menggunakan Logistic Regression mampu menghasilkan performa klasifikasi yang baik pada seluruh aspek yang dianalisis. Dengan demikian, pendekatan ABSA dalam penelitian ini dinilai efektif dan layak digunakan untuk analisis sentimen berbasis aspek pada ulasan pengguna Female Daily.</t>
  </si>
  <si>
    <t>Mula'ab</t>
  </si>
  <si>
    <t>Kurniawan Eka Permana</t>
  </si>
  <si>
    <t xml:space="preserve">AINUR RIFQI </t>
  </si>
  <si>
    <t>PENERAPAN ASPECT BASED SENTIMENT ANALYSIS (ABSA) PADA ULASAN PENGGUNA FEMALE DAILY MENGGUNAKAN LATENT DIRICHLET ALLOCATION DAN SUPPORT VECTOR MACHINE</t>
  </si>
  <si>
    <t>Ulasan produk kecantikan pada platform Female Daily mengandung beragam opini pengguna yang membahas berbagai aspek produk. Analisis sentimen secara umum sering kali belum mampu menggambarkan sentimen pengguna secara rinci berdasarkan aspek yang dibicarakan. Oleh karena itu, penelitian ini menerapkan Aspect Based Sentiment Analysis (ABSA) untuk mengekstraksi aspek utama dan mengklasifikasikan sentimen pada setiap aspek ulasan pengguna. Ekstraksi aspek dilakukan menggunakan Latent Dirichlet Allocation (LDA) dengan evaluasi nilai coherence di mana jumlah topik terbaik diperoleh pada K 5, sehingga menghasilkan lima aspek utama, yaitu kemasan, aroma, tekstur, harga, dan efek pemakaian. Selanjutnya, klasifikasi sentimen dilakukan menggunakan Support Vector Machine (SVM) dengan variasi kernel, parameter C dan gamma, representasi fitur TF-IDF unigram dan bigram, serta rasio data latih dan data uji 80:20 dan 70:30. Hasil penelitian menunjukkan bahwa penggunaan bigram TF-IDF dengan rasio data 80:20 secara umum memberikan performa terbaik. Akurasi tertinggi diperoleh pada aspek harga sebesar 96,55% menggunakan kernel linear (C 1), diikuti oleh aspek kemasan sebesar 94,20% menggunakan kernel linear (C 0,1) dan aspek aroma sebesar 92,27% menggunakan kernel RBF (C 100; gamma 0,1), sementara aspek tekstur dan aspek efek pemakaian masing-masing menghasilkan akurasi sebesar 87,67% dan 87,56%. Kernel linear juga menunjukkan waktu komputasi yang lebih efisien. Secara keseluruhan, kombinasi LDA dan SVM dengan konfigurasi parameter yang tepat mampu menghasilkan nilai akurasi di atas 87% pada seluruh aspek analisis sentimen berbasis aspek pada ulasan pengguna Female Daily.</t>
  </si>
  <si>
    <t>Iwan Santosa</t>
  </si>
  <si>
    <t xml:space="preserve">ERVINA MUTIARA TAUFIKA </t>
  </si>
  <si>
    <t>Penerapan Topic Modeling dengan Latent Dirichlet Allocation (LDA) dan Support Vector Machine (SVM) dalam Klasifikasi Artikel Jurnal (Studi Kasus : Jurnal Teknologi Informasi dan Ilmu Komputer)</t>
  </si>
  <si>
    <t>Pertumbuhan publikasi ilmiah yang semakin pesat menimbulkan tantangan dalam proses pencarian dan pengelompokan artikel jurnal secara manual. Proses ini memerlukan waktu dan tenaga yang besar, serta berpotensi menghasilkan ketidaksesuaian dalam pengelompokan topik. Penelitian ini mengusulkan sistem otomatisasi klasifikasi artikel jurnal berbasis abstrak dan kata kunci dengan memanfaatkan pendekatan Latent Dirichlet Allocation (LDA) dan Support Vector Machine (SVM). LDA digunakan untuk melakukan pemodelan topik dan mengekstraksi distribusi probabilistik kata dalam dokumen, yang kemudian dimanfaatkan untuk pelabelan otomatis dokumen berdasarkan topik dominan. Hasil dari proses tersebut selanjutnya digunakan sebagai fitur dalam proses klasifikasi menggunakan algoritma SVM. Dataset yang digunakan berupa 1.164 artikel dari jurnal JTIIK yang diperoleh melalui proses web scraping. Hasil pemodelan topik menunjukkan bahwa jumlah topik optimal diperoleh sebanyak 9 topik pada data abstrak tanpa kata kunci dengan nilai coherence score sebesar 0,217, serta 7 topik pada data abstrak dengan kata kunci dengan nilai coherence score sebesar 0,229. Nilai pada kedua skenario tersebut termasuk dalam kategori kurang baik, yang menunjukkan bahwa topik yang dihasilkan masih kurang relevan untuk dijadikan representasi fitur meskipun memiliki keterkaitan kata yang cukup baik. Sementara itu, hasil klasifikasi menggunakan SVM menghasilkan akurasi sebesar 79% untuk klasifikasi data abstrak tanpa kata kunci dan sebesar 76% pada data abstrak disertai kata kunci. Perbedaan nilai akurasi ini menunjukkan bahwa penyertaan kata kunci meningkatkan performa klasifikasi meskipun tidak signifikan, karena kata kunci cenderung bersifat umum dan dapat mengurangi kekhususan fitur yang diekstraksi dari teks abstrak utama.</t>
  </si>
  <si>
    <t>Novi Prastiti</t>
  </si>
  <si>
    <t>TOPIC MODELING PADA PELAYANAN BUS TRANS JATIM MENGGUNAKAN LATENT DIRICHLET ALLOCATION</t>
  </si>
  <si>
    <t>Pelayanan transportasi publik yang optimal menjadi kunci dalam meningkatkan kepuasan pengguna. Bus Trans Jatim sebagai salah satu layanan transportasi di Jawa Timur menerima banyak ulasan dari pengguna di media sosial seperti YouTube, Twitter, dan Instagram, yang mencerminkan pengalaman perjalanan mereka. Analisis manual sulit dilakukan karena volume data yang besar. Penelitian ini bertujuan untuk mengidentifikasi topik pembahasan publik mengenai layanan Bus Trans Jatim menggunakan Topic Modeling berbasis Latent Dirichlet Allocation (LDA) sehingga dapat memahami topik layanan yang perlu diperbaiki. Metodologi meliputi pengumpulan 2.992 komentar dari berbagai platform, dilanjutkan preprocessing teks berupa case folding, cleaning, normalisasi, tokenisasi, stopword removal, dan stemming. Model LDA diterapkan untuk mengelompokkan ulasan ke dalam topik dominan. Hasil analisis menunjukkan lima topik utama: harga (lima_ribu, limabelas_ribu, duaribu_limaratus, harga, murah), fasilitas (disabilitas, kursi, aplikasi_ajaib, luxury), pelayanan (layanan, standaroperasionalprosedur, pramugara_ramah), rute (halte_bukitkayuputih, halte_sidayu, terminal_bangkalan, halte_benjeng), dan keamanan (aman,sopir_ugal). Model terbaik diperoleh dengan parameter &amp;alpha; 0,3 dan &amp;beta; 0,03, menggunakan 150 iterasi, menghasilkan Coherence Score sebesar 0,6755, yang menunjukkan topik yang jelas, kohesif, dan mudah diinterpretasikan. Berdasarkan hasil pemodelan LDA ini, model mampu mengekstrak struktur kata yang representatif dan relevan untuk memahami pengalaman pengguna serta topik layanan Bus Trans Jatim yang perlu ditingkatkan. Hasil ini dapat menjadi dasar rekomendasi perbaikan layanan oleh pengelola Bus Trans Jatim guna meningkatkan kepuasan pengguna secara keseluruhan.</t>
  </si>
  <si>
    <t xml:space="preserve">Yudha Dwi Putra Negara </t>
  </si>
  <si>
    <t>ACHMAD BAGUS ASHRORY</t>
  </si>
  <si>
    <t>PENERAPAN TOPIC MODELING PADA ULASAN PELAYANAN RSUD SYARIFAH AMBAMI RATO EBU BANGKALAN MENGGUNAKAN ALGORITMA LATENT DIRICHLET ALLOCATION</t>
  </si>
  <si>
    <t>Penelitian ini menerapkan algoritma Latent Dirichlet Allocation(LDA) untuk mengidentifikasi topik utama dari ulasan pasien RSUD Syarifah Ambami Rato Ebu Bangkalan yang diperoleh melalui platform Google Maps. Sebanyak 2.004 ulasan dianalisis setelah melalui tahap Preprocessing yang meliputi Cleaning, Case Folding, normalisasi, tokenisasi, Stopword Removal, dan Stemming. Pemodelan dilakukan dengan eksplorasi parameter &amp;alpha; dan &amp;beta; untuk memperoleh hasil terbaik berdasarkan nilai Coherence Score. Hasil penelitian menunjukkan terbentuknya 10 topik utama, yang mencakup aspek pelayanan dokter, sikap perawat, antrian pengambilan obat, kebersihan ruang tunggu, dan administrasi BPJS. Nilai Coherence Score tertinggi diperoleh sebesar 0,5273, menunjukkan bahwa model memiliki kualitas topik yang cukup baik dan mampu merepresentasikan persepsi pasien secara semantik. Temuan ini memperlihatkan bahwa ulasan digital dapat menjadi sumber data yang bernilai dalam memahami pengalaman serta kebutuhan pengguna layanan kesehatan. Hasil penelitian ini dapat menjadi masukan bagi manajemen RSUD dalam meningkatkan kualitas pelayanan dan melakukan evaluasi berbasis data terhadap kepuasan pasien.</t>
  </si>
  <si>
    <t>Muhammad Ali Syakur</t>
  </si>
  <si>
    <t>M. TSANI ALFARIZI</t>
  </si>
  <si>
    <t>ANALISIS TRENDING TOPIK MENGGUNAKAN TOPIC MODELLING PADA ARTIKEL BERITA POLITIK DI DETIK.COM MENGGUNAKAN LATENT DIRICHLET ALLOCATION (LDA)</t>
  </si>
  <si>
    <t>Perkembangan teknologi informasi telah menyebabkan meningkatnya jumlah artikel berita politik yang dipublikasikan secara online, khususnya melalui portal Detik.com. Kondisi ini memunculkan tantangan baru, yaitu bagaimana mengelompokkan dan memahami isi berita dalam jumlah besar secara efisien tanpa harus membaca satu per satu. Permasalahan utama terletak pada proses identifikasi topik yang dilakukan secara manual, yang memakan waktu lama dan tidak efektif dalam menangkap tren isu secara menyeluruh. Untuk menjawab permasalahan tersebut, penelitian ini menggunakan metode Latent Dirichlet Allocation (LDA) untuk melakukan pemodelan topik pada artikel berita politik dalam rentang waktu Januari 2021 hingga Mei 2025. Proses pemodelan diawali dengan tahapan preprocessing teks seperti cleaning, stopword removal, normalisasi, tokenisasi, hingga pembentukan bag-of-words. Penelitian ini bertujuan untuk menganalisis pengaruh parameter pemodelan seperti jumlah topik, iterasi (passes), dan kualitas preprocessing terhadap hasil topik yang dihasilkan oleh model LDA. Hasil eksperimen menunjukkan bahwa konfigurasi terbaik diperoleh pada jumlah topik sebanyak 13 dan iterasi sebanyak 5, dengan nilai coherence score tertinggi sebesar 0.5250 dan perplexity sebesar 545,36. Nilai ini tergolong dalam kategori koherensi sedang hingga baik, yang berarti topik yang terbentuk cukup relevan dan mudah diinterpretasikan secara tematik. Pengujian dilakukan dengan variasi jumlah topik antara 2 hingga 15 dan jumlah iterasi sebanyak 4 kali, yaitu 5, 10, 15, dan 20. Peningkatan nilai coherence score secara bertahap diamati, dimulai dari 0.3374 dengan 2 topik dan 5 iterasi hingga mencapai nilai tertinggi 0.5250 dengan 13 topik dan 5 iterasi. Jumlah topik yang terlalu sedikit cenderung menghasilkan topik yang terlalu umum, sedangkan jumlah yang terlalu banyak menyebabkan tumpang tindih antar topik. Di sisi lain, tahapan preprocessing terbukti sangat penting dalam menyaring kata-kata tidak relevan dan meningkatkan kualitas distribusi kata dalam tiap topik. Dengan demikian, pemilihan parameter yang tepat berkontribusi besar dalam meningkatkan keberhasilan pemodelan topik terhadap data berita politik.</t>
  </si>
  <si>
    <t>Yeni Kustiyanigsih</t>
  </si>
  <si>
    <t> AHMAD ZAMRONI</t>
  </si>
  <si>
    <t>PENERAPAN PEMODELAN TOPIK KOMENTAR MELALUI MEDIA SOSIAL APLIKASI TIKTOK MENGGUNAKAN LDA (LATENT DIRICHLET ALLOCATION) (Studi Kasus : Pemerintah Kabupaten Trenggalek)</t>
  </si>
  <si>
    <t>Pemerintah Kabupaten Trenggalek menghadapi tantangan dalam memahami opini publik yang disampaikan melalui komentar di akun TikTok resminya, terutama terkait kebijakan dan program pembangunan daerah. Penelitian ini bertujuan untuk mengidentifikasi topik-topik utama dari komentar masyarakat menggunakan metode Latent Dirichlet Allocation (LDA) sebagai pendekatan pemodelan topik. Data dikumpulkan melalui teknik web scraping dari Januari hingga Maret 2025, mencakup komentar-komentar pada video yang diunggah oleh akun resmi pemerintah. Proses analisis melibatkan tahapan preprocessing seperti tokenisasi, penghapusan stopwords, normalisasi kata, lemmatisasi, dan filtering berdasarkan POS-tagging untuk menghasilkan korpus teks yang bersih dan terstruktur.Hasil evaluasi model menunjukkan performa optimal dengan nilai perplexity sebesar 8.994 dan coherence score sebesar 0.594, menandakan konsistensi dan relevansi topik yang baik. Dari hasil pemodelan yang sudah dimodelkan mengahasilkan topik utama yang mencerminkan aspirasi masyarakat, antara lain seputar kebijakan publik, pembangunan infrastruktur, dan layanan kesehatan. Penelitian ini memberikan kontribusi praktis dalam memahami opini publik berbasis data media sosial serta secara metodologis membuktikan efektivitas LDA dalam mengolah data komentar dari TikTok. Implikasi dari temuan ini diharapkan mampu membantu Pemerintah dalam merumuskan kebijakan yang lebih responsif dan berbasis bukti. Penelitian lanjutan disarankan untuk mengintegrasikan analisis sentimen dan memperluas cakupan data secara temporal untuk hasil yang lebih komprehensif</t>
  </si>
  <si>
    <t>DHEA RAHMA DIANTI</t>
  </si>
  <si>
    <t>PENERAPAN METODE HYBRID VARIATIONAL MODE DECOMPOSITION DAN CONVOLUTIONAL NEURAL NETWORK-GATED RECURRENT UNIT UNTUK PERAMALAN KUNJUNGAN WISATAWAN NUSANTARA</t>
  </si>
  <si>
    <t>Pariwisata merupakan sektor yang berperan penting dalam mendorong pertumbuhan ekonomi daerah di Kabupaten Lamongan. Jumlah kunjungan wisatawan tergolong berfluktuasi menimbulkan kesulitan bagi pihak dinas pariwisata untuk melakukan perencanaan dalam pengelolaan wisata, maka diperlukan sebuah metode peramalan yang mampu menghasilkan tingkat kesalahan yang rendah. Penelitian ini bertujuan melakukan peramalan jumlah kunjungan wisatawan di Kabupaten Lamongan dengan jumlah data 5 wisata yang di dapatkan dari dinas pariwisata serta digunakan metode hybrid dari Variational Mode Decomposition (VMD) dan Convolutional Neural Network&amp;ndash;Gated Recurrent Unit (CNN-GRU). Metode VMD digunakan untuk proses mendekomposisi sinyal data time series agar pola dapat di pisahkan ke dalam komponen mode. Setiap komponen akan diekstraksi menggunakan Convolutional Nerual Network (CNN) agar memperoleh pola lokal dan fitur spasial temporal yang relevan. Fitur yang dihasilkan akan diproses oleh Gated Recurrrent Unit (GRU) untuk menangkap keterkaitan temporal jangka panjang agar hasil peramalan lebih stabil. Dengan menggunakan kombinasi dari metode tersebut dihasilkan nilai MAPE terendah pada model VMD-CNN-GRU dibuktikan dengan nilai MAPE pada wisata Goa Maharani sebesar 0.3%, lalu pada wisata makam sendang duwur 2.3%, wisata makam sunan drajat 3.5%, museum drajat 7.17%, dan waduk gondang 8.5%. hasil peramalan jumlah kunjungan wisatawan pada periode selanjutnya diperoleh jumlah 43.547 pengunjung pada wisata GOA Maharani</t>
  </si>
  <si>
    <t>Imamah</t>
  </si>
  <si>
    <t xml:space="preserve">SELMA AULIA </t>
  </si>
  <si>
    <t>KLASIFIKASI KESEGARAN CABE JAMU MENGGUNAKAN CONVOLUTIONAL NEURAL NETWORK (CNN) DAN ARSITEKTUR EFFICIENTNET B3</t>
  </si>
  <si>
    <t>Identifikasi kesegaran cabe jamu (Piper retrofractum Vahl) penting untuk menjaga mutu dan nilai jual dalam rantai pasok maupun industri pengolahan. Namun, perbedaan antara cabe segar dan busuk, khususnya setelah proses pengeringan, sering sulit dikenali secara visual sehingga menimbulkan risiko penurunan kualitas. Penelitian ini bertujuan untuk mengembangkan dan membandingkan model Convolutional Neural Network (CNN) standar dan EfficientNet B3 dalam mengklasifikasikan kesegaran cabe jamu. Dataset terdiri atas dua kelas utama (segar dan busuk) yang melalui tahap preprocessing berupa resize dan augmentasi. Model diuji dengan dua optimizer, yaitu ADAM dan SGD. Evaluasi dilakukan menggunakan metrik akurasi, presisi, recall, dan F1-score. Hasil penelitian menunjukkan bahwa EfficientNet B3 dengan optimizer ADAM memberikan performa terbaik dengan akurasi 95%, presisi 94%, recall 96%, dan F1-score 95%. Nilai tersebut lebih tinggi dibandingkan CNN standar maupun penggunaan optimizer SGD, yang cenderung menghasilkan akurasi kurang stabil. Temuan ini menegaskan efektivitas EfficientNet B3 dalam klasifikasi citra cabe jamu. Secara praktis, model terbaik berhasil diimplementasikan ke dalam aplikasi berbasis Streamlit yang memungkinkan prediksi dilakukan secara langsung melalui antarmuka sederhana.</t>
  </si>
  <si>
    <t>Achmad Yasid</t>
  </si>
  <si>
    <t xml:space="preserve">SADAM PAYODA SABILILLAH </t>
  </si>
  <si>
    <t>Generator Warna Otomatis Gambar Batik Madura Berbasis Convolutional Neural Network (CNN)</t>
  </si>
  <si>
    <t>Proses desain pewarnaan batik Madura sering menghadapi tantangan dalam hal efisensi dan kecepatan produksi. Teknik manual yang lambat mengakibatkan penundaan dalam produksi dan menurunkan efisiensi industri batik Madura. Untuk mengatasi masalah ini, penelitian ini menggunakan Deep Learning salah satunya Convolutional Neural Network (CNN). CNN adalah metode Deep Learning yang sangat efektif dalam pengolahan citra. Penelitian ini bertujuan untuk menciptakan generator warna otomatis pada citra batik Madura menggunakan arsitektur Inception-Resnet-V2, yang telah terbukti mampu mengatasi masalah seperti penurunan gradien. Model dilatih pada dataset citra batik Madura yang berjumlah 673 gambar. Evaluasi model dilakukan dengan menggunakan dua metrik utama, yaitu Peak Signal to Noise Rasio (PSNR) dan Structural Similarity Indeks Metrics (SSIM). PSNR mengukur kualitas citra yang dihasilkan dengan membandingkan citra asli dan citra yang diwarnai, sedangkan SSIM mengukur kemiripan struktural antar citra berdasarkan persepsi sistem visual manusia (HVS). Hasil evaluasi menggunakan learning rate 0.001 PSNR terbaik yaitu didapat pada epoch 500 dengan nilai 10,98333 dan evaluasi menggunakan SSIM terbaik adalah epoch 100 dengan nilai 0,248148, Sedangkan menggunakan learning rate 0.0001 PSNR terbaik dan SSIM terbaik di dapat pada epoch 1000 dengan nilai yang lebih baik dari pada menggunakan learning rate lebih kecil yaitu 0.001. Dengan nilai PSNR yaitu 11,82 dan SSIM senilai 0,29. Secara performa learning rate 0.001 jika semakin naik epoch maka terjadi tidak konsisten pada evaluasi PSNR dan SSIM sedangkan dengan menggunakan learning rate 0.0001 menunjukkan bahwa terjadi peningkatan seiring meningkatnya epoch. Dari visualiasi citra hasil pewarnaan batik Madura mendekati dengan citra aslinya dan lebih banyak menghasilkan warna baru.</t>
  </si>
  <si>
    <t>Abdullah Basuki Rahmat</t>
  </si>
  <si>
    <t>IMPLEMENTASI SUPPORT VECTOR MACHINE DENGAN KERNEL LINEAR DALAM ULASAN APLIKASI MYXL PADA GOOGLE PLAY STORE</t>
  </si>
  <si>
    <t>Penelitian ini bertujuan menganalisis sentimen ulasan pengguna aplikasi MyXL di Google Play Store serta mengkaji kesesuaian penggunaan Support Vector Machine (SVM) kernel linear berdasarkan karakteristik data teks. Berbeda dari penelitian sebelumnya yang umumnya menitikberatkan pada perbandingan algoritma atau peningkatan akurasi, penelitian ini menekankan pemilihan kernel secara metodologis sebagai pendekatan yang paling sesuai secara struktural untuk data teks berdimensi tinggi. Dataset yang digunakan terdiri dari 2.000 ulasan pengguna yang diperoleh dari halaman aplikasi MyXL di Google Play Store, dengan pembagian 1.600 data (80%) sebagai data latih dan 400 data (20%) sebagai data uji. Proses pengolahan data meliputi tahap praproses teks berupa cleaning, case folding, normalisasi kata (filtering), tokenizing, stopword removal, dan stemming. Selanjutnya, teks direpresentasikan menggunakan metode Term Frequency&amp;ndash;Inverse Document Frequency (TF-IDF) untuk mengubah data teks menjadi fitur numerik berdimensi tinggi. Model klasifikasi kemudian dibangun menggunakan SVM kernel linear dan dievaluasi berdasarkan skema pembagian data latih dan data uji tersebut. Hasil pengujian menunjukkan bahwa model mencapai akurasi sebesar 88%, yang mengindikasikan kinerja klasifikasi yang efektif. Pada kelas sentimen negatif diperoleh nilai precision sebesar 0,90, recall sebesar 0,89, dan F1 score sebesar 0,89 dari total 230 data uji. Pada kelas sentimen positif diperoleh nilai precision sebesar 0,85, recall sebesar 0,87, dan F1 score sebesar 0,86 dari total 170 data uji. Analisis menunjukkan bahwa ulasan pengguna cenderung didominasi oleh sentimen negatif. Penelitian ini memberikan kontribusi praktis dan metodologis dengan membuktikan bahwa SVM kernel linear mampu memberikan stabilitas, efisiensi komputasi, serta kemampuan generalisasi yang baik dalam analisis sentimen ulasan aplikasi berbasis teks berdimensi tinggi.</t>
  </si>
  <si>
    <t>Eza Rahmanita</t>
  </si>
  <si>
    <t xml:space="preserve"> AINUR RIFQI </t>
  </si>
  <si>
    <t>WILDANUN HASANAH</t>
  </si>
  <si>
    <t>ANALISIS SENTIMEN ULASAN WISATAWAN TERHADAP PANTAI SEMBILAN MENGGUNAKAN METODE SUPPORT VECTOR MACHINE</t>
  </si>
  <si>
    <t>Pariwisata merupakan sektor penting dalam mendukung pertumbuhan ekonomi daerah. Ulasan wisatawan pada platform digital dapat dimanfaatkan untuk mengetahui persepsi pengunjung terhadap suatu destinasi wisata. Penelitian ini bertujuan untuk menganalisis sentimen wisatawan terhadap Pantai Sembilan Kabupaten Sumenep berdasarkan ulasan pada Google Maps menggunakan metode Support Vector Machine (SVM). Data ulasan diproses melalui tahapan Preprocessing yang meliputi case Folding, Cleansing, Normalization, Tokenizing, Stopword Removal, Dan Stemming. Pembobotan fitur dilakukan menggunakan Term Frequency&amp;ndash;Inverse Document Frequency (TF-IDF), sedangkan penyeimbangan data dilakukan dengan Synthetic Minority Over-sampling Technique (SMOTE). Hasil pengujian menunjukkan bahwa model SVM dengan kernel linear menghasilkan akurasi sebesar 83,26%, presisi 87,42%, recall 83,26%, dan F1-Score 84,63%. Hasil ini menunjukkan bahwa metode SVM cukup efektif dalam mengklasifikasikan sentimen positif, negatif, dan netral pada ulasan wisatawan. Penelitian ini dapat menjadi acuan bagi pengelola wisata dalam memahami persepsi wisatawan serta sebagai referensi bagi penelitian selanjutnya dalam pengembangan analisis sentimen.</t>
  </si>
  <si>
    <t>Fitriyatus Zakiyah</t>
  </si>
  <si>
    <t xml:space="preserve">A. MAKMUN ALJI </t>
  </si>
  <si>
    <t>ANALISIS SENTIMEN BERBASIS ASPEK TERHADAP ULASAN PENGGUNA MAXIM, GRAB, DAN GOJEK MENGGUNAKAN SUPPORT VECTOR MACHINE (SVM)</t>
  </si>
  <si>
    <t>Ulasan pengguna pada aplikasi Maxim, Grab, dan Gojek di Google PlayStore memuat berbagai opini yang mencerminkan kualitas layanan pada aspek yang berbeda, sehingga analisis manual menjadi tidak efisien. Penelitian ini menerapkan Aspect Based Sentiment Analysis (ABSA) dengan memanfaatkan topic modeling menggunakan Latent Dirichlet Allocation (LDA) untuk mengekstraksi aspek-aspek utama secara otomatis, kemudian mengklasifikasikan sentimen tiap aspek menggunakan algoritma Support Vector Machine (SVM) kernel linear dengan representasi fitur TF-IDF. Dataset terdiri dari 15.000 ulasan berbahasa Indonesia yang diperoleh melalui proses web scraping menggunakan Scrapy pada Google Colab. Hasil pemodelan topik LDA menghasilkan tiga aspek utama, yaitu driver, aplikasi, dan harga. Pengujian dilakukan pada dua skenario, yaitu dataset tidak seimbang dan dataset yang diseimbangkan menggunakan metode Synthetic Minority Over-sampling Technique (SMOTE). Hasil eksperimen menunjukkan bahwa penerapan SMOTE meningkatkan kinerja model SVM, dengan akurasi Maxim naik dari 86,00% menjadi 87,13%, Grab dari 77,72% menjadi 83,16%, dan Gojek dari 80,82% menjadi 81,06%. Temuan ini membuktikan bahwa kombinasi LDA, TF-IDF, SVM, dan SMOTE efektif untuk analisis sentimen berbasis aspek.</t>
  </si>
  <si>
    <t xml:space="preserve">NABILA FITRIANI </t>
  </si>
  <si>
    <t>Analisis Sentimen Pada Ulasan Pengguna Aplikasi Mimo Menggunakan Algoritma Support Vector Machine</t>
  </si>
  <si>
    <t>Perkembangan teknologi digital telah mendorong munculnya berbagai aplikasi pembelajaran berbasis mobile, salah satunya adalah Mimo: Learn to Code yang membantu pengguna mempelajari bahasa pemrograman secara interaktif, namun beragam ulasan pengguna menuntut analisis sentimen yang lebih sistematis. Penelitian ini bertujuan mengidentifikasi kecenderungan opini pengguna terhadap aplikasi Mimo melalui pendekatan text mining dengan membandingkan dua kamus leksikon, yaitu lexicon Inset (Indonesian Sentiment) dan lexicon Senti Strength-Id. Tahap pelabelan sentimen dilakukan menggunakan lexicon InSet dan lexicon Senti Strength-Id, kemudian teks direpresentasikan menggunakan metode TF-IDF (Term Frequency&amp;ndash;Inverse Document Frequency) sebelum diklasifikasikan dengan algoritma SVM. Metode TF-IDF diterapkan untuk mengekstraksi bobot kata sehingga dapat meningkatkan kinerja SVM dalam proses klasifikasi. Selain itu, teknik SMOTE (Synthetic Minority Over-sampling Technique) digunakan untuk mengatasi ketidakseimbangan kelas yang terbentuk pada data hasil pelabelan menggunakan lexicon Inset maupun lexicon Senti Strength-Id. Ulasan yang dianalisis berasal dari pengguna aplikasi Mimo, dan hasilnya menunjukkan bahwa kedua leksikon menghasilkan dominasi sentimen positif. Model berbasis SVM dengan representasi TF-IDF memberikan performa yang konsisten, di mana SVM Linear yang dilatih menggunakan data berlabel lexicon Senti Strength-Id menghasilkan akurasi tertinggi dengan akurasi 89,80% dibandingkan dengan Lexicon Inset dengan akurasi 89,14%. Secara keseluruhan, penelitian ini menunjukkan bahwa lexicon Senti Strength-Id lebih efektif dibandingkan lexicon Inset dalam mendukung kinerja SVM.</t>
  </si>
  <si>
    <t>DICKY ARDIANTO</t>
  </si>
  <si>
    <t>KLASIFIKASI PENERIMA BANTUAN PROGRAM KELUARGA HARAPAN MENGGUNAKAN METODE SUPPORT VECTOR MACHINE DENGAN ADAPTIVE BOOSTING (Studi Kasus : Desa Cangkring Kecamatan Bluluk Kabupaten Lamongan)</t>
  </si>
  <si>
    <t>Program Keluarga Harapan merupakan salah satu upaya pemerintah untuk mengurangi kemiskinan melalui bantuan bersyarat. Namun, implementasi Program Keluarga Harapan di beberapa daerah, seperti di Desa Cangkring, Kecamatan Bluluk, Kabupaten Lamongan, masih menghadapi kendala, terutama dalam hal seleksi penerima bantuan yang sering kali tidak tepat sasaran, sehingga tidak semua keluarga yang membutuhkan bantuan mendapatkannya. Penelitian ini bertujuan untuk mengklasifikasikan penerima bantuan Program Keluarga Harapan di Desa Cangkring menggunakan metode Support Vector Machine dengan Adaptive Boosting untuk membantu perangkat desa dalam pengambilan keputusan. Dataset bersumber dari Desa Cangkring Kecamatan Bluluk Kabupaten Lamongan yang berjumlah 755 data, dengan 276 menerima dan yang tidak menerima sebanyak 479. Fitur yang digunakan meliputi jumlah anggota keluarga, pendapatan perbulan, pengeluaran perbulan, luas aset tanah, luas rumah. keluarga pra Sejahtera, tanggungan Pendidikan, tanggungan ibu hamil, tanggungan disabilitas. Pada penelitian ini, hasil implementasi Support Vector Machine dengan Adaptive Boosting memberikan performa yang lebih baik. Hal ini ditunjukkan melalui hasil evaluasi. Dimana Support Vector Machine dengan Adaptive Boosting dengan Kernel Linear dan C 1000 menghasilkan nilai evaluasi terbaik dengan nilai Accuracy sebesar 92,56%Selain itu, diperoleh nilai Precision sebesar 98,59%, Recall sebesar 89,74%, dan F1-Score sebesar 93,96%.</t>
  </si>
  <si>
    <t>Achmad Jauhari</t>
  </si>
  <si>
    <t>NABILA RIFDAH QATRUNNADA</t>
  </si>
  <si>
    <t>PERBANDINGAN OVERSAMPLING DAN TEXT AUGMENTATION PADA ANALISIS SENTIMEN ISU KORUPSI PERTAMAX MENGGUNAKAN SUPPORT VECTOR MACHINE</t>
  </si>
  <si>
    <t>Isu korupsi Pertamina yang ramai diperbincangkan di media sosial menunjukkan pentingnya dilakukan analisis sentimen guna memahami persepsi publik. Penelitian ini bertujuan untuk mengklasifikasikan sentimen masyarakat ke dalam kategori positif dan negatif menggunakan metode Support Vector Machine (SVM). Data diperoleh melalui proses crawling dari media sosial X dan dilabeli secara manual. Ditemukan adanya ketidakseimbangan kelas, di mana ulasan negatif lebih dominan dibandingkan ulasan positif. Untuk mengatasi hal tersebut, dilakukan perbandingan dua teknik penyeimbangan data, yaitu text augmentation dan SMOTE. Proses pra-pemrosesan mencakup cleaning, case folding, tokenization, normalization, stopword removal, dan stemming. Fitur teks diekstraksi menggunakan metode TF-IDF. Pengujian dilakukan dalam dua skenario. Skenario pertama menggunakan text augmentation dengan optimasi parameter grid search, menghasilkan akurasi tertinggi 99,44% menggunakan kernel Linear dan RBF. Skenario kedua menggunakan SMOTE menghasilkan akurasi 97,54% dengan kernel Linear. Evaluasi metrik pada skenario pertama menunjukkan nilai presisi, recall, dan F1-Score masing-masing 99%. Pada skenario kedua, diperoleh nilai presisi 98%, recall 97%, dan F1-Score 97%. Hasil penelitian menunjukkan bahwa text augmentation memberikan performa klasifikasi yang lebih optimal dibandingkan dengan SMOTE.</t>
  </si>
  <si>
    <t>MUHAMMAD AKMAL NABIL HIBRIZI</t>
  </si>
  <si>
    <t>ANALISIS SENTIMEN MULTI-ASPEK BERBASIS TEXT AUGMENTATION MENGGUNAKAN MODEL INDOBERT DENGAN DAMERAU-LEVENSHTEIN DISTANCE DAN N-GRAM (Studi Kasus: Wisata Pantai Di Kabupaten Sumenep)</t>
  </si>
  <si>
    <t>Ulasan daring mengenai destinasi wisata pantai di Kabupaten Sumenep merupakan sumber data krusial, namun analisisnya terhambat oleh data yang tidak terstruktur dan penuh noise, terutama kesalahan ketik (typo), penggabungan kata yang tidak tepat, serta kendala efisiensi dalam pelabelan data manual. Penelitian ini bertujuan untuk mengatasi tantangan tersebut dengan membangun model analisis sentimen multi-aspek menggunakan IndoBERT. Penelitian ini mengintegrasikan alur pra-pemrosesan modul koreksi ejaan cerdas yang mengombinasikan Damerau-Levenshtein Distance dengan N-Gram. Selain itu, telah diterapkan metode pelabelan semi-otomatis menggunakan Zero-Shot Classification berbasis XNLI untuk efisiensi proses anotasi. Teknik Teks Augmentasi (Synonym Replacement dan Back-Translation) juga digunakan untuk menangani ketidakseimbangan data pada kelas minoritas. Menggunakan kerangka kerja CRISP-DM, kinerja model dievaluasi melalui tiga skenario pengujian. Hasil penelitian menunjukkan bahwa model Baseline (Skenario 1) mencatatkan akurasi numerik tertinggi sebesar 96,12% dan Macro F1-Score 96,11%. Namun, Skenario 3 (Koreksi Augmentasi) terbukti sebagai model yang paling tangguh secara strategis dengan akurasi 95,14%, karena terbukti mampu meningkatkan performa klasifikasi pada aspek pariwisata yang paling sulit diprediksi, yaitu aspek Accessibility. Meskipun terdapat penurunan akurasi sebesar 0,98% akibat pergeseran fitur kata kunci pada proses perbaikan ejaan, integrasi augmentasi teks berhasil membuat model lebih sensitif terhadap ulasan yang kompleks. Model tersebut telah diimplementasikan ke dalam aplikasi berbasis web menggunakan Streamlit untuk memberikan wawasan strategis bagi pengembangan pariwisata di Kabupaten Sumenep.</t>
  </si>
  <si>
    <t xml:space="preserve">Rosida Vivin Nahari </t>
  </si>
  <si>
    <t>Precision</t>
  </si>
  <si>
    <t>Recall</t>
  </si>
  <si>
    <t>NDCG</t>
  </si>
  <si>
    <t>COSINE</t>
  </si>
  <si>
    <t>JACCARD</t>
  </si>
  <si>
    <t>GARVAN TAUFIQURRAHMAN FAWWAZ</t>
  </si>
  <si>
    <t>Perkembangan layanan kesehatan digital mendorong meningkatnya pengguna aplikasi telemedicine, salah satunya adalah halodoc. Ulasan pengguna yang tersedia pada platform digital menjadi sumber informasi penting untuk mengetahui persepsi dan tingkat kepuasan pengguna terhadap layanan yang diberikan. Namun, analisis ulasan secara manual memiliki keterbatasan, terutama karena jumlah data yang besar, penggunaan Bahasa tidak baku, serta ketidakseimbangan distribusi kelas sentiment. Oleh sebab itu, diperlukan pendekatan komputasional untuk melakukan analisis sentimen secara otomatis. Penelitian ini membahas klasifikasi sentiment ulasan pengguna aplikasi Halodoc dengan menggunakan metode Support Vector Machine (SVM) dan ekstraksi fitur TF-IDF. Data ulasan diperoleh dari Google Play Store dan diproses melalui beberapa tahapan preprocessing, yaitu Cleansing, case folding, tokenization, Normalization, stopword removal. Pelabelan data dilakukan menggunakan dua pendekatan, yaitu pelabelan manual dan pelabelan berbasis leksikon. Selain itu, penelitian ini juga menerapkan metode SMOTE dan undersampling untuk menangani ketidakseimbangan jumlah data antar kelas sentiment. Pengujian dilakukan dengan beberapa skenario menggunakan kernel linear SVM dan variasi nilai parameter C, menggunakan SMOTE maupun tidak. Evaluasi model dilakukan menggunakan metrik akurasi, presisi, recall, dan F1-score. Hasil pengujian menunjukkan bahwa skenario pelabelan leksikon dengan penerapan SMOTE memberikan hasil terbaik, dengan akurasi sebesar 0,979, presisi 0,993, recall 0,983, dan F1-score 0,988 pada Nilai C 1. Berdasarkan hasil tersebut, dapat disimpulkan bahwa metode SVM dengan TF-IDF mampu mengklasifikasikan sentiment ulasan pengguna Halodoc dengan baik, serta penggunaan SMOTE dapat meningkatkan performa model pada data yang tidak seimbang.</t>
  </si>
  <si>
    <t>ANALISIS ULASAN PENGGUNA APLIKASI HALODOC MENGGUNAKAN SUPPORT VECTOR MACHINE DENGAN PENANGANAN DATA IMBALANCE SMOTE</t>
  </si>
  <si>
    <t>KEMAL KHADAFI</t>
  </si>
  <si>
    <t>ANALISIS SENTIMEN OPINI MASYARAKAT TERHADAP KEBIJAKAN KENAIKAN PPN (PAJAK PERTAMBAHAN NILAI) PADA MEDIA SOSIAL TWITTER DENGAN METODE SUPPORT VECTOR MACHINE</t>
  </si>
  <si>
    <t>Pajak Pertambahan Nilai (PPN) adalah pajak yang dikenakan atas konsumsi barang dan jasa di dalam negeri. Sebagai salah satu pilar utama penerimaan negara, Namun mekanisme PPN yang dikenakan pada setiap rantai distribusi menyebabkan pajak ini pada akhirnya dibebankan kepada konsumen akhir, sehingga setiap perubahannya memiliki dampak langsung terhadap masyarakat luas. Ramainya pembahasan PPN pada platform twittwer X menbuat tertarik untuk mengetahui sentimen masyarakat terhadap PPN. Sentimen sendiri terdiri dari sentimen postif, negatif, dan netral. Dalam analisis ini menggunakan support vector machine SVM ). Term frequency-inverce document frequency TF-IDF gunakan untuk melakukan pengukuran seberapa penting kata dalan suatu data. Sedangkan untuk mengukur kinerja klasifikasi SVM menggunakan metode Confusion matrix. Karnel linear merupakan karnel yang gunakan pada analisis data. Sehingga dapat mengevaluasi akurasi sebesar 89.09% dan menyimpulkan bahwa mayoritas sentimen masyarakat pada platform X terhadap kebijkan PPN lebih condong sentimen netral.</t>
  </si>
  <si>
    <t>Cryptocurrency telah menjadi alternatif investasi yang populer, namun keamanan penyimpanan aset digital masih menjadi tantangan utama. Seed phrase crypto wallet merupakan kunci akses yang kritis, dan kehilangan atau pencurian seed phrase dapat berakibat f</t>
  </si>
  <si>
    <t>SYAECHU AGIEL FUKAHA</t>
  </si>
  <si>
    <t>ACH. SAIFULLAH</t>
  </si>
  <si>
    <t>TOTAL</t>
  </si>
  <si>
    <t>LULA KUMALA</t>
  </si>
  <si>
    <t>Audit Sistem Informasi</t>
  </si>
  <si>
    <t>AUDIT SISTEM INFORMASI SKRIPSI (SISRI) UNTUK MENGUKUR KEPUASAN PENGGUNA BERDASARKAN KERANGKA COBIT 2019</t>
  </si>
  <si>
    <t>Sistem Informasi Skripsi (SISRI) di Fakultas Teknik Universitas Trunojoyo Madura dirancang untuk memfasilitasi berbagai proses akademik skripsi, mulai dari pengajuan judul hingga penilaian akhir. Penelitian ini mengaudit tata kelola dan kualitas layanan SISRI berdasarkan kerangka COBIT 2019 pada tiga domain utama yakni DSS02 (Managed Service Requests and Incidents), BAI08 (Managed Knowledge), dan APO11 (Managed Quality), serta mengevaluasi dampaknya terhadap kepuasan pengguna. Penelitian menggunakan metode deskriptif kualitatif dengan melalui wawancara terstruktur, observasi, dan lembar audit kepada 14 informan kunci. Analisis data dibantu NVivo untuk mengkode dan mengekstrak tema utama. Hasil audit pada domain DSS02 menemukan pencatatan insiden masih manual tanpa formulir resmi, belum ada prosedur eskalasi, serta belum diterapkan klasifikasi dan pemantauan insiden. Meskipun tim teknis merespon cepat dan beberapa layanan dapat diproses otomatis namun belum ada mekanisme untuk mengukur kepuasan pengguna. Pada domain BAI08, SOP dan panduan penggunaan telah tersedia, data akademik terklasifikasi, dan hak akses ditetapkan sesuai peran. Namun, sosialisasi dan pelatihan hanya dilakukan saat peluncuran, dan belum ada dokumentasi kesalahan terpusat. Pada domain APO11, menunjukkan belum adanya penanggung jawab mutu setelah pembubaran TIMSI. Evaluasi bersifat insidental dan belum ada prosedur baku pencatatan kesalahan. Meski dokumen SOP dan pedoman skripsi tersedia, standar kualitas belum ditetapkan dan audit kepatuhan belum dilaksanakan. Penerapan ketiga domain COBIT 2019 telah mempercepat respons layanan dan kemudahan akses informasi dalam SISRI, yang berdampak pada kepuasan pengguna. Namun, kelemahan pada dokumentasi, prosedur baku, otomasi proses, dan struktur mutu menunjukkan perlunya perbaikan. Rekomendasi meliputi standardisasi SOP, otomasi pencatatan insiden, penetapan process owner, pelatihan rutin, serta pengukuran kepuasan pengguna melalui survei dan dashboard analitik.</t>
  </si>
  <si>
    <t>SYAFIQURRAHMAN</t>
  </si>
  <si>
    <t>Rancang Bangun</t>
  </si>
  <si>
    <t>SISTEM PEMBELAJARAN ADAPTIF BERDASARKAN GAYA BELAJAR VISUAL, AUDITORI DAN KINESTETIK MENGGUNAKAN METODE AHP DAN TOPSIS</t>
  </si>
  <si>
    <t>Kemajuan teknologi di era digital memicu berbagai tantangan adaptasi dalam bidang pendidikan, khususnya pada sistem pembelajaran. Permasalahan utama dalam implementasi sistem pembelajaran adalah kurangnya personalisasi pembelajaran sesuai karakteristik individual siswa. Penelitian ini bertujuan untuk mengoptimalkan sistem pembelajaran adaptif menggunakan kombinasi metode Analytical Hierarchy Process (AHP) dan Technique for Order Preference by Similarity to Ideal Solution (TOPSIS). Metode AHP digunakan untuk menentukan bobot kriteria gaya belajar, sedangkan TOPSIS berperan dalam meranking alternatif jalur pembelajaran berdasarkan kedekatan dengan solusi ideal. Sistem yang dikembangkan dilengkapi dengan lima fitur utama yaitu kuesioner penentuan gaya belajar, modul pembelajaran adaptif, Pretest, coursetest, dan Posttest. Implementasi sistem dilakukan pada 38 mahasiswa sebagai sampel penelitian. Hasil penelitian menunjukkan bahwa 36 mahasiswa mengalami peningkatan pemahaman setelah menggunakan sistem, dengan tingkat keberhasilan mencapai 94,74%. Evaluasi kinerja sistem membuktikan bahwa metode AHP-TOPSIS efektif dalam menyesuaikan konten pembelajaran berdasarkan gaya belajar individu, sehingga berkontribusi signifikan terhadap peningkatan pemahaman siswa dalam proses pembelajaran.</t>
  </si>
  <si>
    <t>MUHAMMAD WASHILUDDIN</t>
  </si>
  <si>
    <t>SISTEM PEMBELAJARAN BERDASARKAN GAYA BELAJAR VISUAL, AUDITORY DAN KINESTETIK MENGGUNAKAN METODE MULTI CRITERIA DECISION MAKING (MCDM)</t>
  </si>
  <si>
    <t>Kemajuan teknologi memicu tantangan adaptasi di berbagai bidang, termasuk pendidikan. E-learning, yang mengandalkan perangkat elektronik dan internet, telah menjadi inovasi penting dalam pembelajaran. Namun, e-learning seringkali tidak memperhatikan kebutuhan individual siswa, terutama dalam personalisasi gaya belajar. Pembelajaran muncul sebagai solusi yang memungkinkan penyesuaian materi dan metode pembelajaran berdasarkan karakteristik siswa. Metode Analytical Hierarchy Process (AHP) dan simple additive Weighting (SAW) diusulkan untuk mengoptimalkan sistem e-learning. AHP membantu menentukan bobot kriteria, sementara SAW meranking alternatif jalur pembelajaran sesuai kedekatan dengan solusi ideal. Implementasi metode ini diharapkan meningkatkan efektivitas e-learning dengan memberikan pembelajaran yang dipersonalisasi, sehingga kualitas pembelajaran dapat ditingkatkan secara signifikan. Hasil penelitian menunjukkan bahwa penerapan metode AHP dan SAW pada sistem pembelajaran telah terbukti efektif. Sistem ini dilengkapi dengan beberapa fitur utama yaitu kuesioner untuk menentukan gaya belajar yang paling sesuai dengan preferensi mahasiswa, modul pembelajaran yang disesuaikan dengan gaya belajar individual, pretest untuk mengukur pemahaman awal,</t>
  </si>
  <si>
    <t>ANINDITA SEPTIAN NINGRUM</t>
  </si>
  <si>
    <t>RANCANG BANGUN SISTEM INFORMASI E-COMMERCE UMKM KUE TRADISIONAL BERBASIS WEBSITE MENGGUNAKAN METODE RAPID APPLICATION DEVELOPMENT (RAD)</t>
  </si>
  <si>
    <t>UMKM kue tradisional masih menghadapi kendala dalam proses penjualan, karena pencatatan pemesanan dan transaksi masih dilakukan secara manual sehingga menghambat efektivitas operasional dan jangkauan pemasaran. Penelitian ini bertujuan untuk merancang dan membangun sistem e-commerce berbasis website sebagai solusi untuk mendukung penjualan dan pengelolaan pesanan secara digital. Pengembangan sistem menggunakan metode Rapid Application Development (RAD) yang meliputi tahap perencanaan kebutuhan, perancangan, dan implementasi. Fitur utama yang dibangun meliputi manajemen produk, keranjang belanja, checkout, riwayat pesanan, serta pembayaran menggunakan QRIS. Pengujian dilakukan menggunakan Black-Box Testing, User Acceptance Testing (UAT), dan Web Application Performance Testing (WAPT). Hasil pengujian menunjukkan seluruh fungsi berjalan dengan baik, di mana pengujian Black-Box menghasilkan tingkat keberhasilan 100%, UAT mencapai 89,14%, serta performa sistem stabil pada pengujian WAPT dengan 20 pengguna aktif tanpa error. Berdasarkan hasil tersebut, sistem e-commerce yang dikembangkan dinyatakan layak dan mampu mendukung proses penjualan UMKM secara efektif.</t>
  </si>
  <si>
    <t>Persentase</t>
  </si>
  <si>
    <t>Hitrate Cosine</t>
  </si>
  <si>
    <t>Hitrate Jaccard</t>
  </si>
  <si>
    <t>Relevan Cosine</t>
  </si>
  <si>
    <t>Relevan Jaccard</t>
  </si>
  <si>
    <t xml:space="preserve">M. T. ALDI SYAHPRANATA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</si>
</sst>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
  </numFmts>
  <fonts count="7" x14ac:knownFonts="1">
    <font>
      <sz val="11"/>
      <color theme="1"/>
      <name val="Calibri"/>
      <family val="2"/>
      <scheme val="minor"/>
    </font>
    <font>
      <b/>
      <sz val="11"/>
      <color theme="1"/>
      <name val="Calibri"/>
      <family val="2"/>
      <scheme val="minor"/>
    </font>
    <font>
      <u/>
      <sz val="11"/>
      <color theme="10"/>
      <name val="Calibri"/>
      <family val="2"/>
      <scheme val="minor"/>
    </font>
    <font>
      <b/>
      <sz val="12"/>
      <color theme="1"/>
      <name val="Calibri"/>
      <family val="2"/>
      <scheme val="minor"/>
    </font>
    <font>
      <b/>
      <sz val="12"/>
      <name val="Calibri"/>
      <family val="2"/>
      <scheme val="minor"/>
    </font>
    <font>
      <sz val="12"/>
      <color theme="1"/>
      <name val="Calibri"/>
      <family val="2"/>
      <scheme val="minor"/>
    </font>
    <font>
      <sz val="11"/>
      <color theme="1"/>
      <name val="Calibri"/>
      <family val="2"/>
      <scheme val="minor"/>
    </font>
  </fonts>
  <fills count="9">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rgb="FFFF0000"/>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rgb="FFFF99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 fillId="0" borderId="0" applyNumberFormat="0" applyFill="0" applyBorder="0" applyAlignment="0" applyProtection="0"/>
    <xf numFmtId="9" fontId="6" fillId="0" borderId="0" applyFont="0" applyFill="0" applyBorder="0" applyAlignment="0" applyProtection="0"/>
  </cellStyleXfs>
  <cellXfs count="27">
    <xf numFmtId="0" fontId="0" fillId="0" borderId="0" xfId="0"/>
    <xf numFmtId="2" fontId="0" fillId="0" borderId="0" xfId="0" applyNumberFormat="1"/>
    <xf numFmtId="0" fontId="3" fillId="0" borderId="0" xfId="0" applyFont="1" applyAlignment="1">
      <alignment horizontal="center" vertical="center"/>
    </xf>
    <xf numFmtId="0" fontId="3" fillId="0" borderId="0" xfId="0" applyFont="1" applyAlignment="1">
      <alignment horizontal="center" vertical="center" wrapText="1"/>
    </xf>
    <xf numFmtId="164" fontId="0" fillId="0" borderId="0" xfId="0" applyNumberFormat="1"/>
    <xf numFmtId="0" fontId="1" fillId="5" borderId="0" xfId="0" applyFont="1" applyFill="1"/>
    <xf numFmtId="164" fontId="1" fillId="5" borderId="0" xfId="0" applyNumberFormat="1" applyFont="1" applyFill="1"/>
    <xf numFmtId="0" fontId="1" fillId="0" borderId="0" xfId="0" applyFont="1"/>
    <xf numFmtId="0" fontId="3" fillId="0" borderId="0" xfId="0" applyFont="1"/>
    <xf numFmtId="9" fontId="0" fillId="0" borderId="0" xfId="2" applyFont="1"/>
    <xf numFmtId="0" fontId="1" fillId="0" borderId="0" xfId="0" applyFont="1" applyFill="1"/>
    <xf numFmtId="2" fontId="1" fillId="0" borderId="0" xfId="0" applyNumberFormat="1" applyFont="1"/>
    <xf numFmtId="0" fontId="3" fillId="8" borderId="1" xfId="0" applyFont="1" applyFill="1" applyBorder="1" applyAlignment="1">
      <alignment horizontal="center" vertical="center"/>
    </xf>
    <xf numFmtId="0" fontId="5" fillId="0" borderId="1" xfId="0" applyFont="1" applyBorder="1"/>
    <xf numFmtId="0" fontId="5" fillId="6" borderId="1" xfId="0" applyFont="1" applyFill="1" applyBorder="1"/>
    <xf numFmtId="0" fontId="5" fillId="2" borderId="1" xfId="0" applyFont="1" applyFill="1" applyBorder="1"/>
    <xf numFmtId="0" fontId="5" fillId="3" borderId="1" xfId="0" applyFont="1" applyFill="1" applyBorder="1"/>
    <xf numFmtId="0" fontId="5" fillId="4" borderId="1" xfId="0" applyFont="1" applyFill="1" applyBorder="1"/>
    <xf numFmtId="0" fontId="5" fillId="7" borderId="1" xfId="0" applyFont="1" applyFill="1" applyBorder="1"/>
    <xf numFmtId="0" fontId="3" fillId="8" borderId="1" xfId="0" applyFont="1" applyFill="1" applyBorder="1" applyAlignment="1">
      <alignment horizontal="center" vertical="center" wrapText="1"/>
    </xf>
    <xf numFmtId="0" fontId="0" fillId="0" borderId="1" xfId="0" applyBorder="1"/>
    <xf numFmtId="0" fontId="1" fillId="8" borderId="1" xfId="0" applyFont="1" applyFill="1" applyBorder="1" applyAlignment="1">
      <alignment horizontal="center"/>
    </xf>
    <xf numFmtId="0" fontId="4" fillId="8" borderId="1" xfId="1" applyFont="1" applyFill="1" applyBorder="1" applyAlignment="1">
      <alignment horizontal="center" vertical="center"/>
    </xf>
    <xf numFmtId="164" fontId="0" fillId="0" borderId="1" xfId="0" applyNumberFormat="1" applyBorder="1"/>
    <xf numFmtId="164" fontId="0" fillId="0" borderId="1" xfId="0" applyNumberFormat="1" applyFill="1" applyBorder="1"/>
    <xf numFmtId="0" fontId="0" fillId="0" borderId="1" xfId="0" applyFill="1" applyBorder="1"/>
    <xf numFmtId="165" fontId="0" fillId="0" borderId="1" xfId="0" applyNumberFormat="1" applyFill="1" applyBorder="1"/>
  </cellXfs>
  <cellStyles count="3">
    <cellStyle name="Hyperlink" xfId="1" builtinId="8"/>
    <cellStyle name="Normal" xfId="0" builtinId="0"/>
    <cellStyle name="Percent" xfId="2" builtinId="5"/>
  </cellStyles>
  <dxfs count="0"/>
  <tableStyles count="0" defaultTableStyle="TableStyleMedium2" defaultPivotStyle="PivotStyleLight16"/>
  <colors>
    <mruColors>
      <color rgb="FFFF99FF"/>
      <color rgb="FFFF66CC"/>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1233A-A885-4733-87AB-D8DD389BE875}">
  <dimension ref="A1:W57"/>
  <sheetViews>
    <sheetView tabSelected="1" topLeftCell="G13" zoomScale="101" zoomScaleNormal="70" workbookViewId="0">
      <selection activeCell="M26" sqref="M26"/>
    </sheetView>
  </sheetViews>
  <sheetFormatPr defaultRowHeight="15" x14ac:dyDescent="0.25"/>
  <cols>
    <col min="1" max="1" width="4.140625" bestFit="1" customWidth="1"/>
    <col min="2" max="2" width="42.42578125" bestFit="1" customWidth="1"/>
    <col min="3" max="3" width="19" bestFit="1" customWidth="1"/>
    <col min="4" max="4" width="21.140625" bestFit="1" customWidth="1"/>
    <col min="7" max="7" width="25" bestFit="1" customWidth="1"/>
    <col min="8" max="9" width="25.85546875" bestFit="1" customWidth="1"/>
    <col min="10" max="10" width="10.85546875" bestFit="1" customWidth="1"/>
    <col min="11" max="11" width="7.7109375" customWidth="1"/>
    <col min="12" max="16" width="8.28515625" customWidth="1"/>
    <col min="17" max="23" width="9.140625" customWidth="1"/>
  </cols>
  <sheetData>
    <row r="1" spans="1:23" x14ac:dyDescent="0.25">
      <c r="A1" s="12" t="s">
        <v>0</v>
      </c>
      <c r="B1" s="12" t="s">
        <v>1</v>
      </c>
      <c r="C1" s="12" t="s">
        <v>2</v>
      </c>
      <c r="D1" s="12" t="s">
        <v>3</v>
      </c>
      <c r="E1" s="12" t="s">
        <v>4</v>
      </c>
      <c r="F1" s="12" t="s">
        <v>5</v>
      </c>
      <c r="G1" s="12" t="s">
        <v>6</v>
      </c>
      <c r="H1" s="12" t="s">
        <v>7</v>
      </c>
      <c r="I1" s="12" t="s">
        <v>8</v>
      </c>
      <c r="K1" s="19" t="s">
        <v>243</v>
      </c>
      <c r="L1" s="19" t="s">
        <v>244</v>
      </c>
      <c r="N1" s="19" t="s">
        <v>245</v>
      </c>
      <c r="O1" s="19" t="s">
        <v>246</v>
      </c>
      <c r="Q1" s="21" t="s">
        <v>216</v>
      </c>
      <c r="R1" s="21"/>
      <c r="S1" s="21"/>
      <c r="U1" s="21" t="s">
        <v>217</v>
      </c>
      <c r="V1" s="21"/>
      <c r="W1" s="21"/>
    </row>
    <row r="2" spans="1:23" ht="15.75" x14ac:dyDescent="0.25">
      <c r="A2" s="12"/>
      <c r="B2" s="12"/>
      <c r="C2" s="12"/>
      <c r="D2" s="12"/>
      <c r="E2" s="12"/>
      <c r="F2" s="12"/>
      <c r="G2" s="12"/>
      <c r="H2" s="12"/>
      <c r="I2" s="12"/>
      <c r="J2" s="2"/>
      <c r="K2" s="19"/>
      <c r="L2" s="19"/>
      <c r="M2" s="3"/>
      <c r="N2" s="19"/>
      <c r="O2" s="19"/>
      <c r="P2" s="3"/>
      <c r="Q2" s="22" t="s">
        <v>213</v>
      </c>
      <c r="R2" s="22" t="s">
        <v>214</v>
      </c>
      <c r="S2" s="22" t="s">
        <v>215</v>
      </c>
      <c r="U2" s="22" t="s">
        <v>213</v>
      </c>
      <c r="V2" s="22" t="s">
        <v>214</v>
      </c>
      <c r="W2" s="22" t="s">
        <v>215</v>
      </c>
    </row>
    <row r="3" spans="1:23" ht="15.75" x14ac:dyDescent="0.25">
      <c r="A3" s="13">
        <v>1</v>
      </c>
      <c r="B3" s="13" t="s">
        <v>218</v>
      </c>
      <c r="C3" s="13" t="s">
        <v>9</v>
      </c>
      <c r="D3" s="13" t="s">
        <v>10</v>
      </c>
      <c r="E3" s="13" t="s">
        <v>220</v>
      </c>
      <c r="F3" s="13" t="s">
        <v>219</v>
      </c>
      <c r="G3" s="13" t="s">
        <v>152</v>
      </c>
      <c r="H3" s="14" t="s">
        <v>11</v>
      </c>
      <c r="I3" s="14" t="s">
        <v>205</v>
      </c>
      <c r="K3" s="20">
        <v>1</v>
      </c>
      <c r="L3" s="20">
        <v>1</v>
      </c>
      <c r="N3" s="20">
        <v>2</v>
      </c>
      <c r="O3" s="20">
        <v>2</v>
      </c>
      <c r="Q3" s="24">
        <v>0.2</v>
      </c>
      <c r="R3" s="25">
        <v>0.66700000000000004</v>
      </c>
      <c r="S3" s="24">
        <v>0.35</v>
      </c>
      <c r="T3" s="4"/>
      <c r="U3" s="23">
        <v>0.2</v>
      </c>
      <c r="V3" s="20">
        <v>0.66700000000000004</v>
      </c>
      <c r="W3" s="23">
        <v>0.33</v>
      </c>
    </row>
    <row r="4" spans="1:23" ht="15.75" x14ac:dyDescent="0.25">
      <c r="A4" s="13">
        <v>2</v>
      </c>
      <c r="B4" s="13" t="s">
        <v>228</v>
      </c>
      <c r="C4" s="13" t="s">
        <v>14</v>
      </c>
      <c r="D4" s="13" t="s">
        <v>229</v>
      </c>
      <c r="E4" s="13" t="s">
        <v>230</v>
      </c>
      <c r="F4" s="13" t="s">
        <v>231</v>
      </c>
      <c r="G4" s="13" t="s">
        <v>179</v>
      </c>
      <c r="H4" s="14" t="s">
        <v>33</v>
      </c>
      <c r="I4" s="15" t="s">
        <v>190</v>
      </c>
      <c r="K4" s="20">
        <v>1</v>
      </c>
      <c r="L4" s="20">
        <v>1</v>
      </c>
      <c r="N4" s="20">
        <v>2</v>
      </c>
      <c r="O4" s="20">
        <v>1</v>
      </c>
      <c r="Q4" s="24">
        <v>0.2</v>
      </c>
      <c r="R4" s="24">
        <v>0.66700000000000004</v>
      </c>
      <c r="S4" s="24">
        <v>0.34300000000000003</v>
      </c>
      <c r="U4" s="23">
        <v>0.1</v>
      </c>
      <c r="V4" s="23">
        <v>0.33300000000000002</v>
      </c>
      <c r="W4" s="23">
        <v>0.14099999999999999</v>
      </c>
    </row>
    <row r="5" spans="1:23" ht="15.75" x14ac:dyDescent="0.25">
      <c r="A5" s="13">
        <v>3</v>
      </c>
      <c r="B5" s="13" t="s">
        <v>221</v>
      </c>
      <c r="C5" s="13" t="s">
        <v>14</v>
      </c>
      <c r="D5" s="13" t="s">
        <v>19</v>
      </c>
      <c r="E5" s="13" t="s">
        <v>222</v>
      </c>
      <c r="F5" s="13" t="s">
        <v>223</v>
      </c>
      <c r="G5" s="13" t="s">
        <v>20</v>
      </c>
      <c r="H5" s="16" t="s">
        <v>83</v>
      </c>
      <c r="I5" s="14" t="s">
        <v>161</v>
      </c>
      <c r="K5" s="20">
        <v>1</v>
      </c>
      <c r="L5" s="20">
        <v>1</v>
      </c>
      <c r="N5" s="20">
        <v>1</v>
      </c>
      <c r="O5" s="20">
        <v>2</v>
      </c>
      <c r="Q5" s="24">
        <v>0.1</v>
      </c>
      <c r="R5" s="25">
        <v>0.33300000000000002</v>
      </c>
      <c r="S5" s="25">
        <v>0.156</v>
      </c>
      <c r="U5" s="23">
        <v>0.2</v>
      </c>
      <c r="V5" s="20">
        <v>0.66700000000000004</v>
      </c>
      <c r="W5" s="23">
        <v>0.35</v>
      </c>
    </row>
    <row r="6" spans="1:23" ht="15.75" x14ac:dyDescent="0.25">
      <c r="A6" s="13">
        <v>4</v>
      </c>
      <c r="B6" s="13" t="s">
        <v>23</v>
      </c>
      <c r="C6" s="13" t="s">
        <v>9</v>
      </c>
      <c r="D6" s="13" t="s">
        <v>24</v>
      </c>
      <c r="E6" s="13" t="s">
        <v>25</v>
      </c>
      <c r="F6" s="13" t="s">
        <v>26</v>
      </c>
      <c r="G6" s="15" t="s">
        <v>27</v>
      </c>
      <c r="H6" s="13" t="s">
        <v>28</v>
      </c>
      <c r="I6" s="15" t="s">
        <v>17</v>
      </c>
      <c r="K6" s="20">
        <v>1</v>
      </c>
      <c r="L6" s="20">
        <v>0</v>
      </c>
      <c r="N6" s="20">
        <v>2</v>
      </c>
      <c r="O6" s="20">
        <v>0</v>
      </c>
      <c r="Q6" s="24">
        <v>0.2</v>
      </c>
      <c r="R6" s="25">
        <v>0.66700000000000004</v>
      </c>
      <c r="S6" s="25">
        <v>0.14099999999999999</v>
      </c>
      <c r="U6" s="23">
        <v>0</v>
      </c>
      <c r="V6" s="23">
        <v>0</v>
      </c>
      <c r="W6" s="23">
        <v>0</v>
      </c>
    </row>
    <row r="7" spans="1:23" ht="15.75" x14ac:dyDescent="0.25">
      <c r="A7" s="13">
        <v>5</v>
      </c>
      <c r="B7" s="13" t="s">
        <v>29</v>
      </c>
      <c r="C7" s="13" t="s">
        <v>14</v>
      </c>
      <c r="D7" s="13" t="s">
        <v>19</v>
      </c>
      <c r="E7" s="13" t="s">
        <v>30</v>
      </c>
      <c r="F7" s="13" t="s">
        <v>31</v>
      </c>
      <c r="G7" s="15" t="s">
        <v>32</v>
      </c>
      <c r="H7" s="15" t="s">
        <v>33</v>
      </c>
      <c r="I7" s="16" t="s">
        <v>34</v>
      </c>
      <c r="K7" s="20">
        <v>1</v>
      </c>
      <c r="L7" s="20">
        <v>1</v>
      </c>
      <c r="N7" s="20">
        <v>2</v>
      </c>
      <c r="O7" s="20">
        <v>1</v>
      </c>
      <c r="Q7" s="24">
        <v>0.2</v>
      </c>
      <c r="R7" s="25">
        <v>0.66700000000000004</v>
      </c>
      <c r="S7" s="25">
        <v>0.38400000000000001</v>
      </c>
      <c r="U7" s="23">
        <v>0.1</v>
      </c>
      <c r="V7" s="20">
        <v>0.33300000000000002</v>
      </c>
      <c r="W7" s="20">
        <v>0.14099999999999999</v>
      </c>
    </row>
    <row r="8" spans="1:23" ht="15.75" x14ac:dyDescent="0.25">
      <c r="A8" s="13">
        <v>6</v>
      </c>
      <c r="B8" s="13" t="s">
        <v>232</v>
      </c>
      <c r="C8" s="13" t="s">
        <v>14</v>
      </c>
      <c r="D8" s="13" t="s">
        <v>233</v>
      </c>
      <c r="E8" s="13" t="s">
        <v>234</v>
      </c>
      <c r="F8" s="13" t="s">
        <v>235</v>
      </c>
      <c r="G8" s="15" t="s">
        <v>68</v>
      </c>
      <c r="H8" s="14" t="s">
        <v>53</v>
      </c>
      <c r="I8" s="14" t="s">
        <v>168</v>
      </c>
      <c r="K8" s="20">
        <v>1</v>
      </c>
      <c r="L8" s="20">
        <v>1</v>
      </c>
      <c r="N8" s="20">
        <v>3</v>
      </c>
      <c r="O8" s="20">
        <v>2</v>
      </c>
      <c r="Q8" s="24">
        <v>0.3</v>
      </c>
      <c r="R8" s="24">
        <v>1</v>
      </c>
      <c r="S8" s="24">
        <v>0.51100000000000001</v>
      </c>
      <c r="U8" s="23">
        <v>0.2</v>
      </c>
      <c r="V8" s="23">
        <v>0.66700000000000004</v>
      </c>
      <c r="W8" s="23">
        <v>0.60499999999999998</v>
      </c>
    </row>
    <row r="9" spans="1:23" ht="15.75" x14ac:dyDescent="0.25">
      <c r="A9" s="13">
        <v>7</v>
      </c>
      <c r="B9" s="13" t="s">
        <v>36</v>
      </c>
      <c r="C9" s="13" t="s">
        <v>9</v>
      </c>
      <c r="D9" s="13" t="s">
        <v>19</v>
      </c>
      <c r="E9" s="13" t="s">
        <v>37</v>
      </c>
      <c r="F9" s="13" t="s">
        <v>38</v>
      </c>
      <c r="G9" s="15" t="s">
        <v>39</v>
      </c>
      <c r="H9" s="13" t="s">
        <v>40</v>
      </c>
      <c r="I9" s="16" t="s">
        <v>21</v>
      </c>
      <c r="K9" s="20">
        <v>1</v>
      </c>
      <c r="L9" s="20">
        <v>1</v>
      </c>
      <c r="N9" s="20">
        <v>1</v>
      </c>
      <c r="O9" s="20">
        <v>1</v>
      </c>
      <c r="Q9" s="24">
        <v>0.1</v>
      </c>
      <c r="R9" s="25">
        <v>0.33300000000000002</v>
      </c>
      <c r="S9" s="25">
        <v>0.182</v>
      </c>
      <c r="U9" s="23">
        <v>0.1</v>
      </c>
      <c r="V9" s="20">
        <v>0.33300000000000002</v>
      </c>
      <c r="W9" s="20">
        <v>0.13600000000000001</v>
      </c>
    </row>
    <row r="10" spans="1:23" ht="15.75" x14ac:dyDescent="0.25">
      <c r="A10" s="13">
        <v>8</v>
      </c>
      <c r="B10" s="13" t="s">
        <v>247</v>
      </c>
      <c r="C10" s="13" t="s">
        <v>9</v>
      </c>
      <c r="D10" s="13" t="s">
        <v>19</v>
      </c>
      <c r="E10" s="13" t="s">
        <v>41</v>
      </c>
      <c r="F10" s="13" t="s">
        <v>42</v>
      </c>
      <c r="G10" s="16" t="s">
        <v>43</v>
      </c>
      <c r="H10" s="13" t="s">
        <v>27</v>
      </c>
      <c r="I10" s="15" t="s">
        <v>44</v>
      </c>
      <c r="K10" s="20">
        <v>1</v>
      </c>
      <c r="L10" s="20">
        <v>1</v>
      </c>
      <c r="N10" s="20">
        <v>1</v>
      </c>
      <c r="O10" s="20">
        <v>1</v>
      </c>
      <c r="Q10" s="24">
        <v>0.1</v>
      </c>
      <c r="R10" s="25">
        <v>0.33300000000000002</v>
      </c>
      <c r="S10" s="25">
        <v>0.13600000000000001</v>
      </c>
      <c r="U10" s="23">
        <v>0.1</v>
      </c>
      <c r="V10" s="20">
        <v>0.33300000000000002</v>
      </c>
      <c r="W10" s="20">
        <v>0.29599999999999999</v>
      </c>
    </row>
    <row r="11" spans="1:23" ht="15.75" x14ac:dyDescent="0.25">
      <c r="A11" s="13">
        <v>9</v>
      </c>
      <c r="B11" s="13" t="s">
        <v>45</v>
      </c>
      <c r="C11" s="13" t="s">
        <v>14</v>
      </c>
      <c r="D11" s="13" t="s">
        <v>46</v>
      </c>
      <c r="E11" s="13" t="s">
        <v>47</v>
      </c>
      <c r="F11" s="13" t="s">
        <v>48</v>
      </c>
      <c r="G11" s="15" t="s">
        <v>17</v>
      </c>
      <c r="H11" s="13" t="s">
        <v>35</v>
      </c>
      <c r="I11" s="15" t="s">
        <v>21</v>
      </c>
      <c r="K11" s="20">
        <v>1</v>
      </c>
      <c r="L11" s="20">
        <v>0</v>
      </c>
      <c r="N11" s="20">
        <v>2</v>
      </c>
      <c r="O11" s="20">
        <v>0</v>
      </c>
      <c r="Q11" s="24">
        <v>0.2</v>
      </c>
      <c r="R11" s="25">
        <v>0.66700000000000004</v>
      </c>
      <c r="S11" s="25">
        <v>0.34300000000000003</v>
      </c>
      <c r="U11" s="23">
        <v>0</v>
      </c>
      <c r="V11" s="23">
        <v>0</v>
      </c>
      <c r="W11" s="23">
        <v>0</v>
      </c>
    </row>
    <row r="12" spans="1:23" ht="15.75" x14ac:dyDescent="0.25">
      <c r="A12" s="13">
        <v>10</v>
      </c>
      <c r="B12" s="13" t="s">
        <v>49</v>
      </c>
      <c r="C12" s="13" t="s">
        <v>14</v>
      </c>
      <c r="D12" s="13" t="s">
        <v>19</v>
      </c>
      <c r="E12" s="13" t="s">
        <v>50</v>
      </c>
      <c r="F12" s="13" t="s">
        <v>51</v>
      </c>
      <c r="G12" s="16" t="s">
        <v>52</v>
      </c>
      <c r="H12" s="16" t="s">
        <v>53</v>
      </c>
      <c r="I12" s="13" t="s">
        <v>33</v>
      </c>
      <c r="K12" s="20">
        <v>0</v>
      </c>
      <c r="L12" s="20">
        <v>1</v>
      </c>
      <c r="N12" s="20">
        <v>0</v>
      </c>
      <c r="O12" s="20">
        <v>2</v>
      </c>
      <c r="Q12" s="24">
        <v>0</v>
      </c>
      <c r="R12" s="24">
        <v>0</v>
      </c>
      <c r="S12" s="24">
        <v>0</v>
      </c>
      <c r="U12" s="23">
        <v>0.2</v>
      </c>
      <c r="V12" s="20">
        <v>0.66700000000000004</v>
      </c>
      <c r="W12" s="20">
        <v>0.41599999999999998</v>
      </c>
    </row>
    <row r="13" spans="1:23" ht="15.75" x14ac:dyDescent="0.25">
      <c r="A13" s="13">
        <v>11</v>
      </c>
      <c r="B13" s="13" t="s">
        <v>54</v>
      </c>
      <c r="C13" s="13" t="s">
        <v>14</v>
      </c>
      <c r="D13" s="13" t="s">
        <v>19</v>
      </c>
      <c r="E13" s="13" t="s">
        <v>55</v>
      </c>
      <c r="F13" s="13" t="s">
        <v>56</v>
      </c>
      <c r="G13" s="15" t="s">
        <v>57</v>
      </c>
      <c r="H13" s="16" t="s">
        <v>58</v>
      </c>
      <c r="I13" s="13" t="s">
        <v>33</v>
      </c>
      <c r="K13" s="20">
        <v>1</v>
      </c>
      <c r="L13" s="20">
        <v>1</v>
      </c>
      <c r="N13" s="20">
        <v>1</v>
      </c>
      <c r="O13" s="20">
        <v>1</v>
      </c>
      <c r="Q13" s="24">
        <v>0.1</v>
      </c>
      <c r="R13" s="25">
        <v>0.33300000000000002</v>
      </c>
      <c r="S13" s="25">
        <v>0.46899999999999997</v>
      </c>
      <c r="U13" s="23">
        <v>0.1</v>
      </c>
      <c r="V13" s="20">
        <v>0.33300000000000002</v>
      </c>
      <c r="W13" s="20">
        <v>0.13600000000000001</v>
      </c>
    </row>
    <row r="14" spans="1:23" ht="15.75" x14ac:dyDescent="0.25">
      <c r="A14" s="13">
        <v>12</v>
      </c>
      <c r="B14" s="13" t="s">
        <v>59</v>
      </c>
      <c r="C14" s="13" t="s">
        <v>9</v>
      </c>
      <c r="D14" s="13" t="s">
        <v>19</v>
      </c>
      <c r="E14" s="13" t="s">
        <v>60</v>
      </c>
      <c r="F14" s="13" t="s">
        <v>61</v>
      </c>
      <c r="G14" s="13" t="s">
        <v>62</v>
      </c>
      <c r="H14" s="14" t="s">
        <v>63</v>
      </c>
      <c r="I14" s="15" t="s">
        <v>64</v>
      </c>
      <c r="K14" s="20">
        <v>1</v>
      </c>
      <c r="L14" s="20">
        <v>1</v>
      </c>
      <c r="N14" s="20">
        <v>2</v>
      </c>
      <c r="O14" s="20">
        <v>1</v>
      </c>
      <c r="Q14" s="24">
        <v>0.2</v>
      </c>
      <c r="R14" s="25">
        <v>0.66700000000000004</v>
      </c>
      <c r="S14" s="25">
        <v>0.30399999999999999</v>
      </c>
      <c r="U14" s="23">
        <v>0.1</v>
      </c>
      <c r="V14" s="20">
        <v>0.33300000000000002</v>
      </c>
      <c r="W14" s="20">
        <v>0.46899999999999997</v>
      </c>
    </row>
    <row r="15" spans="1:23" ht="15.75" x14ac:dyDescent="0.25">
      <c r="A15" s="13">
        <v>13</v>
      </c>
      <c r="B15" s="13" t="s">
        <v>65</v>
      </c>
      <c r="C15" s="13" t="s">
        <v>14</v>
      </c>
      <c r="D15" s="13" t="s">
        <v>19</v>
      </c>
      <c r="E15" s="13" t="s">
        <v>66</v>
      </c>
      <c r="F15" s="13" t="s">
        <v>67</v>
      </c>
      <c r="G15" s="15" t="s">
        <v>68</v>
      </c>
      <c r="H15" s="15" t="s">
        <v>69</v>
      </c>
      <c r="I15" s="16" t="s">
        <v>58</v>
      </c>
      <c r="K15" s="20">
        <v>1</v>
      </c>
      <c r="L15" s="20">
        <v>1</v>
      </c>
      <c r="N15" s="20">
        <v>2</v>
      </c>
      <c r="O15" s="20">
        <v>1</v>
      </c>
      <c r="Q15" s="24">
        <v>0.2</v>
      </c>
      <c r="R15" s="25">
        <v>0.66700000000000004</v>
      </c>
      <c r="S15" s="24">
        <v>0.37</v>
      </c>
      <c r="U15" s="23">
        <v>0.1</v>
      </c>
      <c r="V15" s="20">
        <v>0.33300000000000002</v>
      </c>
      <c r="W15" s="20">
        <v>0.16700000000000001</v>
      </c>
    </row>
    <row r="16" spans="1:23" ht="15.75" x14ac:dyDescent="0.25">
      <c r="A16" s="13">
        <v>14</v>
      </c>
      <c r="B16" s="13" t="s">
        <v>70</v>
      </c>
      <c r="C16" s="13" t="s">
        <v>9</v>
      </c>
      <c r="D16" s="13" t="s">
        <v>24</v>
      </c>
      <c r="E16" s="13" t="s">
        <v>71</v>
      </c>
      <c r="F16" s="13" t="s">
        <v>72</v>
      </c>
      <c r="G16" s="13" t="s">
        <v>73</v>
      </c>
      <c r="H16" s="13" t="s">
        <v>74</v>
      </c>
      <c r="I16" s="16" t="s">
        <v>75</v>
      </c>
      <c r="K16" s="20">
        <v>0</v>
      </c>
      <c r="L16" s="20">
        <v>1</v>
      </c>
      <c r="N16" s="20">
        <v>0</v>
      </c>
      <c r="O16" s="20">
        <v>1</v>
      </c>
      <c r="Q16" s="24">
        <v>0</v>
      </c>
      <c r="R16" s="24">
        <v>0</v>
      </c>
      <c r="S16" s="24">
        <v>0</v>
      </c>
      <c r="U16" s="23">
        <v>0.1</v>
      </c>
      <c r="V16" s="20">
        <v>0.33300000000000002</v>
      </c>
      <c r="W16" s="20">
        <v>0.16700000000000001</v>
      </c>
    </row>
    <row r="17" spans="1:23" ht="15.75" x14ac:dyDescent="0.25">
      <c r="A17" s="13">
        <v>15</v>
      </c>
      <c r="B17" s="13" t="s">
        <v>76</v>
      </c>
      <c r="C17" s="13" t="s">
        <v>9</v>
      </c>
      <c r="D17" s="13" t="s">
        <v>24</v>
      </c>
      <c r="E17" s="13" t="s">
        <v>77</v>
      </c>
      <c r="F17" s="13" t="s">
        <v>78</v>
      </c>
      <c r="G17" s="13" t="s">
        <v>79</v>
      </c>
      <c r="H17" s="15" t="s">
        <v>28</v>
      </c>
      <c r="I17" s="13" t="s">
        <v>27</v>
      </c>
      <c r="K17" s="20">
        <v>1</v>
      </c>
      <c r="L17" s="20">
        <v>0</v>
      </c>
      <c r="N17" s="20">
        <v>1</v>
      </c>
      <c r="O17" s="20">
        <v>0</v>
      </c>
      <c r="Q17" s="24">
        <v>0.1</v>
      </c>
      <c r="R17" s="25">
        <v>0.33300000000000002</v>
      </c>
      <c r="S17" s="25">
        <v>0.182</v>
      </c>
      <c r="U17" s="23">
        <v>0</v>
      </c>
      <c r="V17" s="23">
        <v>0</v>
      </c>
      <c r="W17" s="23">
        <v>0</v>
      </c>
    </row>
    <row r="18" spans="1:23" ht="15.75" x14ac:dyDescent="0.25">
      <c r="A18" s="13">
        <v>16</v>
      </c>
      <c r="B18" s="13" t="s">
        <v>80</v>
      </c>
      <c r="C18" s="13" t="s">
        <v>14</v>
      </c>
      <c r="D18" s="13" t="s">
        <v>81</v>
      </c>
      <c r="E18" s="13" t="s">
        <v>82</v>
      </c>
      <c r="F18" s="13" t="s">
        <v>224</v>
      </c>
      <c r="G18" s="13" t="s">
        <v>53</v>
      </c>
      <c r="H18" s="13" t="s">
        <v>83</v>
      </c>
      <c r="I18" s="14" t="s">
        <v>33</v>
      </c>
      <c r="K18" s="20">
        <v>1</v>
      </c>
      <c r="L18" s="20">
        <v>1</v>
      </c>
      <c r="N18" s="20">
        <v>1</v>
      </c>
      <c r="O18" s="20">
        <v>1</v>
      </c>
      <c r="Q18" s="24">
        <v>0.1</v>
      </c>
      <c r="R18" s="25">
        <v>0.33300000000000002</v>
      </c>
      <c r="S18" s="25">
        <v>0.20200000000000001</v>
      </c>
      <c r="U18" s="23">
        <v>0.1</v>
      </c>
      <c r="V18" s="20">
        <v>0.33300000000000002</v>
      </c>
      <c r="W18" s="20">
        <v>0.156</v>
      </c>
    </row>
    <row r="19" spans="1:23" ht="15.75" x14ac:dyDescent="0.25">
      <c r="A19" s="13">
        <v>17</v>
      </c>
      <c r="B19" s="13" t="s">
        <v>84</v>
      </c>
      <c r="C19" s="13" t="s">
        <v>14</v>
      </c>
      <c r="D19" s="13" t="s">
        <v>81</v>
      </c>
      <c r="E19" s="13" t="s">
        <v>85</v>
      </c>
      <c r="F19" s="13" t="s">
        <v>86</v>
      </c>
      <c r="G19" s="15" t="s">
        <v>87</v>
      </c>
      <c r="H19" s="17" t="s">
        <v>88</v>
      </c>
      <c r="I19" s="13" t="s">
        <v>58</v>
      </c>
      <c r="K19" s="20">
        <v>1</v>
      </c>
      <c r="L19" s="20">
        <v>1</v>
      </c>
      <c r="N19" s="20">
        <v>1</v>
      </c>
      <c r="O19" s="20">
        <v>1</v>
      </c>
      <c r="Q19" s="24">
        <v>0.1</v>
      </c>
      <c r="R19" s="25">
        <v>0.33300000000000002</v>
      </c>
      <c r="S19" s="25">
        <v>0.14099999999999999</v>
      </c>
      <c r="U19" s="23">
        <v>0.1</v>
      </c>
      <c r="V19" s="20">
        <v>0.33300000000000002</v>
      </c>
      <c r="W19" s="20">
        <v>0.14799999999999999</v>
      </c>
    </row>
    <row r="20" spans="1:23" ht="15.75" x14ac:dyDescent="0.25">
      <c r="A20" s="13">
        <v>18</v>
      </c>
      <c r="B20" s="13" t="s">
        <v>89</v>
      </c>
      <c r="C20" s="13" t="s">
        <v>14</v>
      </c>
      <c r="D20" s="13" t="s">
        <v>81</v>
      </c>
      <c r="E20" s="13" t="s">
        <v>90</v>
      </c>
      <c r="F20" s="13" t="s">
        <v>91</v>
      </c>
      <c r="G20" s="13" t="s">
        <v>92</v>
      </c>
      <c r="H20" s="15" t="s">
        <v>17</v>
      </c>
      <c r="I20" s="14" t="s">
        <v>93</v>
      </c>
      <c r="K20" s="20">
        <v>1</v>
      </c>
      <c r="L20" s="20">
        <v>0</v>
      </c>
      <c r="N20" s="20">
        <v>2</v>
      </c>
      <c r="O20" s="20">
        <v>1</v>
      </c>
      <c r="Q20" s="24">
        <v>0.2</v>
      </c>
      <c r="R20" s="25">
        <v>0.66700000000000004</v>
      </c>
      <c r="S20" s="25">
        <v>0.40200000000000002</v>
      </c>
      <c r="U20" s="23">
        <v>0.1</v>
      </c>
      <c r="V20" s="20">
        <v>0.33300000000000002</v>
      </c>
      <c r="W20" s="20">
        <v>0.23499999999999999</v>
      </c>
    </row>
    <row r="21" spans="1:23" ht="15.75" x14ac:dyDescent="0.25">
      <c r="A21" s="13">
        <v>19</v>
      </c>
      <c r="B21" s="13" t="s">
        <v>94</v>
      </c>
      <c r="C21" s="13" t="s">
        <v>9</v>
      </c>
      <c r="D21" s="13" t="s">
        <v>81</v>
      </c>
      <c r="E21" s="13" t="s">
        <v>95</v>
      </c>
      <c r="F21" s="13" t="s">
        <v>96</v>
      </c>
      <c r="G21" s="14" t="s">
        <v>97</v>
      </c>
      <c r="H21" s="13" t="s">
        <v>98</v>
      </c>
      <c r="I21" s="14" t="s">
        <v>99</v>
      </c>
      <c r="K21" s="20">
        <v>1</v>
      </c>
      <c r="L21" s="20">
        <v>1</v>
      </c>
      <c r="N21" s="20">
        <v>2</v>
      </c>
      <c r="O21" s="20">
        <v>2</v>
      </c>
      <c r="Q21" s="24">
        <v>0.2</v>
      </c>
      <c r="R21" s="25">
        <v>0.66700000000000004</v>
      </c>
      <c r="S21" s="25">
        <v>0.46899999999999997</v>
      </c>
      <c r="U21" s="23">
        <v>0.2</v>
      </c>
      <c r="V21" s="20">
        <v>0.66700000000000004</v>
      </c>
      <c r="W21" s="20">
        <v>0.29599999999999999</v>
      </c>
    </row>
    <row r="22" spans="1:23" ht="15.75" x14ac:dyDescent="0.25">
      <c r="A22" s="13">
        <v>20</v>
      </c>
      <c r="B22" s="13" t="s">
        <v>100</v>
      </c>
      <c r="C22" s="13" t="s">
        <v>9</v>
      </c>
      <c r="D22" s="13" t="s">
        <v>15</v>
      </c>
      <c r="E22" s="13" t="s">
        <v>101</v>
      </c>
      <c r="F22" s="13" t="s">
        <v>102</v>
      </c>
      <c r="G22" s="16" t="s">
        <v>103</v>
      </c>
      <c r="H22" s="15" t="s">
        <v>104</v>
      </c>
      <c r="I22" s="13" t="s">
        <v>98</v>
      </c>
      <c r="K22" s="20">
        <v>1</v>
      </c>
      <c r="L22" s="20">
        <v>1</v>
      </c>
      <c r="N22" s="20">
        <v>1</v>
      </c>
      <c r="O22" s="20">
        <v>1</v>
      </c>
      <c r="Q22" s="24">
        <v>0.1</v>
      </c>
      <c r="R22" s="25">
        <v>0.33300000000000002</v>
      </c>
      <c r="S22" s="25">
        <v>0.46899999999999997</v>
      </c>
      <c r="U22" s="23">
        <v>0.1</v>
      </c>
      <c r="V22" s="20">
        <v>0.33300000000000002</v>
      </c>
      <c r="W22" s="20">
        <v>0.13600000000000001</v>
      </c>
    </row>
    <row r="23" spans="1:23" ht="15.75" x14ac:dyDescent="0.25">
      <c r="A23" s="13">
        <v>21</v>
      </c>
      <c r="B23" s="13" t="s">
        <v>105</v>
      </c>
      <c r="C23" s="13" t="s">
        <v>9</v>
      </c>
      <c r="D23" s="13" t="s">
        <v>10</v>
      </c>
      <c r="E23" s="13" t="s">
        <v>106</v>
      </c>
      <c r="F23" s="13" t="s">
        <v>107</v>
      </c>
      <c r="G23" s="13" t="s">
        <v>108</v>
      </c>
      <c r="H23" s="13" t="s">
        <v>43</v>
      </c>
      <c r="I23" s="16" t="s">
        <v>109</v>
      </c>
      <c r="K23" s="20">
        <v>0</v>
      </c>
      <c r="L23" s="20">
        <v>1</v>
      </c>
      <c r="N23" s="20">
        <v>0</v>
      </c>
      <c r="O23" s="20">
        <v>1</v>
      </c>
      <c r="Q23" s="24">
        <v>0</v>
      </c>
      <c r="R23" s="24">
        <v>0</v>
      </c>
      <c r="S23" s="24">
        <v>0</v>
      </c>
      <c r="U23" s="23">
        <v>0.1</v>
      </c>
      <c r="V23" s="20">
        <v>0.33300000000000002</v>
      </c>
      <c r="W23" s="20">
        <v>0.46899999999999997</v>
      </c>
    </row>
    <row r="24" spans="1:23" ht="15.75" x14ac:dyDescent="0.25">
      <c r="A24" s="13">
        <v>22</v>
      </c>
      <c r="B24" s="13" t="s">
        <v>110</v>
      </c>
      <c r="C24" s="13" t="s">
        <v>14</v>
      </c>
      <c r="D24" s="13" t="s">
        <v>15</v>
      </c>
      <c r="E24" s="13" t="s">
        <v>111</v>
      </c>
      <c r="F24" s="13" t="s">
        <v>112</v>
      </c>
      <c r="G24" s="13" t="s">
        <v>113</v>
      </c>
      <c r="H24" s="15" t="s">
        <v>68</v>
      </c>
      <c r="I24" s="15" t="s">
        <v>114</v>
      </c>
      <c r="K24" s="20">
        <v>1</v>
      </c>
      <c r="L24" s="20">
        <v>0</v>
      </c>
      <c r="N24" s="20">
        <v>2</v>
      </c>
      <c r="O24" s="20">
        <v>0</v>
      </c>
      <c r="Q24" s="24">
        <v>0.2</v>
      </c>
      <c r="R24" s="25">
        <v>0.66700000000000004</v>
      </c>
      <c r="S24" s="25">
        <v>0.317</v>
      </c>
      <c r="U24" s="23">
        <v>0</v>
      </c>
      <c r="V24" s="23">
        <v>0</v>
      </c>
      <c r="W24" s="23">
        <v>0</v>
      </c>
    </row>
    <row r="25" spans="1:23" ht="15.75" x14ac:dyDescent="0.25">
      <c r="A25" s="13">
        <v>23</v>
      </c>
      <c r="B25" s="13" t="s">
        <v>115</v>
      </c>
      <c r="C25" s="13" t="s">
        <v>14</v>
      </c>
      <c r="D25" s="13" t="s">
        <v>116</v>
      </c>
      <c r="E25" s="13" t="s">
        <v>117</v>
      </c>
      <c r="F25" s="13" t="s">
        <v>118</v>
      </c>
      <c r="G25" s="15" t="s">
        <v>17</v>
      </c>
      <c r="H25" s="15" t="s">
        <v>28</v>
      </c>
      <c r="I25" s="13" t="s">
        <v>119</v>
      </c>
      <c r="K25" s="20">
        <v>1</v>
      </c>
      <c r="L25" s="20">
        <v>0</v>
      </c>
      <c r="N25" s="20">
        <v>2</v>
      </c>
      <c r="O25" s="20">
        <v>0</v>
      </c>
      <c r="Q25" s="24">
        <v>0.2</v>
      </c>
      <c r="R25" s="25">
        <v>0.66700000000000004</v>
      </c>
      <c r="S25" s="25">
        <v>0.16700000000000001</v>
      </c>
      <c r="U25" s="23">
        <v>0</v>
      </c>
      <c r="V25" s="23">
        <v>0</v>
      </c>
      <c r="W25" s="23">
        <v>0</v>
      </c>
    </row>
    <row r="26" spans="1:23" ht="15.75" x14ac:dyDescent="0.25">
      <c r="A26" s="13">
        <v>24</v>
      </c>
      <c r="B26" s="13" t="s">
        <v>120</v>
      </c>
      <c r="C26" s="13" t="s">
        <v>9</v>
      </c>
      <c r="D26" s="13" t="s">
        <v>15</v>
      </c>
      <c r="E26" s="13" t="s">
        <v>121</v>
      </c>
      <c r="F26" s="13" t="s">
        <v>122</v>
      </c>
      <c r="G26" s="13" t="s">
        <v>123</v>
      </c>
      <c r="H26" s="14" t="s">
        <v>124</v>
      </c>
      <c r="I26" s="13" t="s">
        <v>125</v>
      </c>
      <c r="K26" s="20">
        <v>1</v>
      </c>
      <c r="L26" s="20">
        <v>1</v>
      </c>
      <c r="N26" s="20">
        <v>1</v>
      </c>
      <c r="O26" s="20">
        <v>1</v>
      </c>
      <c r="Q26" s="24">
        <v>0.1</v>
      </c>
      <c r="R26" s="25">
        <v>0.33300000000000002</v>
      </c>
      <c r="S26" s="25">
        <v>0.14799999999999999</v>
      </c>
      <c r="U26" s="23">
        <v>0.1</v>
      </c>
      <c r="V26" s="20">
        <v>0.33300000000000002</v>
      </c>
      <c r="W26" s="23">
        <v>0.46899999999999997</v>
      </c>
    </row>
    <row r="27" spans="1:23" ht="15.75" x14ac:dyDescent="0.25">
      <c r="A27" s="13">
        <v>25</v>
      </c>
      <c r="B27" s="13" t="s">
        <v>126</v>
      </c>
      <c r="C27" s="13" t="s">
        <v>9</v>
      </c>
      <c r="D27" s="13" t="s">
        <v>10</v>
      </c>
      <c r="E27" s="13" t="s">
        <v>127</v>
      </c>
      <c r="F27" s="13" t="s">
        <v>128</v>
      </c>
      <c r="G27" s="17" t="s">
        <v>12</v>
      </c>
      <c r="H27" s="13" t="s">
        <v>93</v>
      </c>
      <c r="I27" s="17" t="s">
        <v>129</v>
      </c>
      <c r="K27" s="20">
        <v>0</v>
      </c>
      <c r="L27" s="20">
        <v>1</v>
      </c>
      <c r="N27" s="20">
        <v>0</v>
      </c>
      <c r="O27" s="20">
        <v>2</v>
      </c>
      <c r="Q27" s="24">
        <v>0</v>
      </c>
      <c r="R27" s="24">
        <v>0</v>
      </c>
      <c r="S27" s="24">
        <v>0</v>
      </c>
      <c r="U27" s="23">
        <v>0.2</v>
      </c>
      <c r="V27" s="20">
        <v>0.66700000000000004</v>
      </c>
      <c r="W27" s="23">
        <v>0.33</v>
      </c>
    </row>
    <row r="28" spans="1:23" ht="15.75" x14ac:dyDescent="0.25">
      <c r="A28" s="13">
        <v>26</v>
      </c>
      <c r="B28" s="13" t="s">
        <v>130</v>
      </c>
      <c r="C28" s="13" t="s">
        <v>9</v>
      </c>
      <c r="D28" s="13" t="s">
        <v>15</v>
      </c>
      <c r="E28" s="13" t="s">
        <v>131</v>
      </c>
      <c r="F28" s="13" t="s">
        <v>132</v>
      </c>
      <c r="G28" s="13" t="s">
        <v>12</v>
      </c>
      <c r="H28" s="14" t="s">
        <v>133</v>
      </c>
      <c r="I28" s="14" t="s">
        <v>43</v>
      </c>
      <c r="K28" s="20">
        <v>1</v>
      </c>
      <c r="L28" s="20">
        <v>1</v>
      </c>
      <c r="N28" s="20">
        <v>2</v>
      </c>
      <c r="O28" s="20">
        <v>2</v>
      </c>
      <c r="Q28" s="24">
        <v>0.2</v>
      </c>
      <c r="R28" s="25">
        <v>0.66700000000000004</v>
      </c>
      <c r="S28" s="25">
        <v>0.70399999999999996</v>
      </c>
      <c r="U28" s="23">
        <v>0.2</v>
      </c>
      <c r="V28" s="20">
        <v>0.66700000000000004</v>
      </c>
      <c r="W28" s="20">
        <v>0.29199999999999998</v>
      </c>
    </row>
    <row r="29" spans="1:23" ht="15.75" x14ac:dyDescent="0.25">
      <c r="A29" s="13">
        <v>27</v>
      </c>
      <c r="B29" s="13" t="s">
        <v>134</v>
      </c>
      <c r="C29" s="13" t="s">
        <v>9</v>
      </c>
      <c r="D29" s="13" t="s">
        <v>15</v>
      </c>
      <c r="E29" s="13" t="s">
        <v>135</v>
      </c>
      <c r="F29" s="13" t="s">
        <v>136</v>
      </c>
      <c r="G29" s="15" t="s">
        <v>123</v>
      </c>
      <c r="H29" s="13" t="s">
        <v>28</v>
      </c>
      <c r="I29" s="13" t="s">
        <v>137</v>
      </c>
      <c r="K29" s="20">
        <v>1</v>
      </c>
      <c r="L29" s="20">
        <v>0</v>
      </c>
      <c r="N29" s="20">
        <v>1</v>
      </c>
      <c r="O29" s="20">
        <v>0</v>
      </c>
      <c r="Q29" s="24">
        <v>0.1</v>
      </c>
      <c r="R29" s="25">
        <v>0.33300000000000002</v>
      </c>
      <c r="S29" s="25">
        <v>0.23499999999999999</v>
      </c>
      <c r="U29" s="23">
        <v>0</v>
      </c>
      <c r="V29" s="23">
        <v>0</v>
      </c>
      <c r="W29" s="23">
        <v>0</v>
      </c>
    </row>
    <row r="30" spans="1:23" ht="15.75" x14ac:dyDescent="0.25">
      <c r="A30" s="13">
        <v>28</v>
      </c>
      <c r="B30" s="13" t="s">
        <v>138</v>
      </c>
      <c r="C30" s="13" t="s">
        <v>9</v>
      </c>
      <c r="D30" s="13" t="s">
        <v>15</v>
      </c>
      <c r="E30" s="13" t="s">
        <v>139</v>
      </c>
      <c r="F30" s="13" t="s">
        <v>140</v>
      </c>
      <c r="G30" s="15" t="s">
        <v>13</v>
      </c>
      <c r="H30" s="13" t="s">
        <v>27</v>
      </c>
      <c r="I30" s="16" t="s">
        <v>109</v>
      </c>
      <c r="K30" s="20">
        <v>1</v>
      </c>
      <c r="L30" s="20">
        <v>1</v>
      </c>
      <c r="N30" s="20">
        <v>1</v>
      </c>
      <c r="O30" s="20">
        <v>1</v>
      </c>
      <c r="Q30" s="24">
        <v>0.1</v>
      </c>
      <c r="R30" s="25">
        <v>0.33300000000000002</v>
      </c>
      <c r="S30" s="25">
        <v>0.23499999999999999</v>
      </c>
      <c r="U30" s="23">
        <v>0.1</v>
      </c>
      <c r="V30" s="20">
        <v>0.33300000000000002</v>
      </c>
      <c r="W30" s="20">
        <v>0.156</v>
      </c>
    </row>
    <row r="31" spans="1:23" ht="15.75" x14ac:dyDescent="0.25">
      <c r="A31" s="13">
        <v>29</v>
      </c>
      <c r="B31" s="13" t="s">
        <v>141</v>
      </c>
      <c r="C31" s="13" t="s">
        <v>9</v>
      </c>
      <c r="D31" s="13" t="s">
        <v>142</v>
      </c>
      <c r="E31" s="13" t="s">
        <v>143</v>
      </c>
      <c r="F31" s="13" t="s">
        <v>144</v>
      </c>
      <c r="G31" s="16" t="s">
        <v>63</v>
      </c>
      <c r="H31" s="13" t="s">
        <v>43</v>
      </c>
      <c r="I31" s="15" t="s">
        <v>145</v>
      </c>
      <c r="K31" s="20">
        <v>1</v>
      </c>
      <c r="L31" s="20">
        <v>1</v>
      </c>
      <c r="N31" s="20">
        <v>1</v>
      </c>
      <c r="O31" s="20">
        <v>1</v>
      </c>
      <c r="Q31" s="24">
        <v>0.1</v>
      </c>
      <c r="R31" s="25">
        <v>0.33300000000000002</v>
      </c>
      <c r="S31" s="25">
        <v>0.46899999999999997</v>
      </c>
      <c r="U31" s="23">
        <v>0.1</v>
      </c>
      <c r="V31" s="20">
        <v>0.33300000000000002</v>
      </c>
      <c r="W31" s="20">
        <v>0.14799999999999999</v>
      </c>
    </row>
    <row r="32" spans="1:23" ht="15.75" x14ac:dyDescent="0.25">
      <c r="A32" s="13">
        <v>30</v>
      </c>
      <c r="B32" s="13" t="s">
        <v>146</v>
      </c>
      <c r="C32" s="13" t="s">
        <v>9</v>
      </c>
      <c r="D32" s="13" t="s">
        <v>19</v>
      </c>
      <c r="E32" s="13" t="s">
        <v>147</v>
      </c>
      <c r="F32" s="13" t="s">
        <v>148</v>
      </c>
      <c r="G32" s="14" t="s">
        <v>28</v>
      </c>
      <c r="H32" s="13" t="s">
        <v>64</v>
      </c>
      <c r="I32" s="13" t="s">
        <v>103</v>
      </c>
      <c r="K32" s="20">
        <v>1</v>
      </c>
      <c r="L32" s="20">
        <v>1</v>
      </c>
      <c r="N32" s="20">
        <v>1</v>
      </c>
      <c r="O32" s="20">
        <v>1</v>
      </c>
      <c r="Q32" s="24">
        <v>0.1</v>
      </c>
      <c r="R32" s="25">
        <v>0.33300000000000002</v>
      </c>
      <c r="S32" s="25">
        <v>0.16700000000000001</v>
      </c>
      <c r="U32" s="23">
        <v>0.1</v>
      </c>
      <c r="V32" s="20">
        <v>0.33300000000000002</v>
      </c>
      <c r="W32" s="20">
        <v>0.13600000000000001</v>
      </c>
    </row>
    <row r="33" spans="1:23" ht="15.75" x14ac:dyDescent="0.25">
      <c r="A33" s="13">
        <v>31</v>
      </c>
      <c r="B33" s="13" t="s">
        <v>149</v>
      </c>
      <c r="C33" s="13" t="s">
        <v>9</v>
      </c>
      <c r="D33" s="13" t="s">
        <v>19</v>
      </c>
      <c r="E33" s="13" t="s">
        <v>150</v>
      </c>
      <c r="F33" s="13" t="s">
        <v>151</v>
      </c>
      <c r="G33" s="13" t="s">
        <v>152</v>
      </c>
      <c r="H33" s="16" t="s">
        <v>153</v>
      </c>
      <c r="I33" s="13" t="s">
        <v>74</v>
      </c>
      <c r="K33" s="20">
        <v>0</v>
      </c>
      <c r="L33" s="20">
        <v>1</v>
      </c>
      <c r="N33" s="20">
        <v>0</v>
      </c>
      <c r="O33" s="20">
        <v>1</v>
      </c>
      <c r="Q33" s="24">
        <v>0</v>
      </c>
      <c r="R33" s="24">
        <v>0</v>
      </c>
      <c r="S33" s="24">
        <v>0</v>
      </c>
      <c r="U33" s="23">
        <v>0.1</v>
      </c>
      <c r="V33" s="20">
        <v>0.33300000000000002</v>
      </c>
      <c r="W33" s="20">
        <v>0.156</v>
      </c>
    </row>
    <row r="34" spans="1:23" ht="15.75" x14ac:dyDescent="0.25">
      <c r="A34" s="13">
        <v>32</v>
      </c>
      <c r="B34" s="13" t="s">
        <v>154</v>
      </c>
      <c r="C34" s="13" t="s">
        <v>9</v>
      </c>
      <c r="D34" s="13" t="s">
        <v>19</v>
      </c>
      <c r="E34" s="13" t="s">
        <v>155</v>
      </c>
      <c r="F34" s="13" t="s">
        <v>156</v>
      </c>
      <c r="G34" s="14" t="s">
        <v>11</v>
      </c>
      <c r="H34" s="16" t="s">
        <v>124</v>
      </c>
      <c r="I34" s="13" t="s">
        <v>157</v>
      </c>
      <c r="K34" s="20">
        <v>1</v>
      </c>
      <c r="L34" s="20">
        <v>1</v>
      </c>
      <c r="N34" s="20">
        <v>1</v>
      </c>
      <c r="O34" s="20">
        <v>2</v>
      </c>
      <c r="Q34" s="24">
        <v>0.1</v>
      </c>
      <c r="R34" s="25">
        <v>0.33300000000000002</v>
      </c>
      <c r="S34" s="25">
        <v>0.182</v>
      </c>
      <c r="U34" s="23">
        <v>0.2</v>
      </c>
      <c r="V34" s="20">
        <v>0.66700000000000004</v>
      </c>
      <c r="W34" s="20">
        <v>0.44400000000000001</v>
      </c>
    </row>
    <row r="35" spans="1:23" ht="15.75" x14ac:dyDescent="0.25">
      <c r="A35" s="13">
        <v>33</v>
      </c>
      <c r="B35" s="13" t="s">
        <v>158</v>
      </c>
      <c r="C35" s="13" t="s">
        <v>14</v>
      </c>
      <c r="D35" s="13" t="s">
        <v>19</v>
      </c>
      <c r="E35" s="13" t="s">
        <v>159</v>
      </c>
      <c r="F35" s="13" t="s">
        <v>160</v>
      </c>
      <c r="G35" s="13" t="s">
        <v>20</v>
      </c>
      <c r="H35" s="13" t="s">
        <v>161</v>
      </c>
      <c r="I35" s="14" t="s">
        <v>35</v>
      </c>
      <c r="K35" s="20">
        <v>1</v>
      </c>
      <c r="L35" s="20">
        <v>1</v>
      </c>
      <c r="N35" s="20">
        <v>1</v>
      </c>
      <c r="O35" s="20">
        <v>1</v>
      </c>
      <c r="Q35" s="24">
        <v>0.1</v>
      </c>
      <c r="R35" s="25">
        <v>0.33300000000000002</v>
      </c>
      <c r="S35" s="25">
        <v>0.13600000000000001</v>
      </c>
      <c r="U35" s="23">
        <v>0.1</v>
      </c>
      <c r="V35" s="20">
        <v>0.33300000000000002</v>
      </c>
      <c r="W35" s="20">
        <v>0.29599999999999999</v>
      </c>
    </row>
    <row r="36" spans="1:23" ht="15.75" x14ac:dyDescent="0.25">
      <c r="A36" s="13">
        <v>34</v>
      </c>
      <c r="B36" s="13" t="s">
        <v>225</v>
      </c>
      <c r="C36" s="13" t="s">
        <v>14</v>
      </c>
      <c r="D36" s="13" t="s">
        <v>19</v>
      </c>
      <c r="E36" s="13" t="s">
        <v>162</v>
      </c>
      <c r="F36" s="13" t="s">
        <v>163</v>
      </c>
      <c r="G36" s="14" t="s">
        <v>52</v>
      </c>
      <c r="H36" s="15" t="s">
        <v>164</v>
      </c>
      <c r="I36" s="14" t="s">
        <v>53</v>
      </c>
      <c r="K36" s="20">
        <v>1</v>
      </c>
      <c r="L36" s="20">
        <v>1</v>
      </c>
      <c r="N36" s="20">
        <v>3</v>
      </c>
      <c r="O36" s="20">
        <v>2</v>
      </c>
      <c r="Q36" s="24">
        <v>0.3</v>
      </c>
      <c r="R36" s="24">
        <v>1</v>
      </c>
      <c r="S36" s="25">
        <v>0.52400000000000002</v>
      </c>
      <c r="U36" s="23">
        <v>0.2</v>
      </c>
      <c r="V36" s="20">
        <v>0.66700000000000004</v>
      </c>
      <c r="W36" s="20">
        <v>0.60499999999999998</v>
      </c>
    </row>
    <row r="37" spans="1:23" ht="15.75" x14ac:dyDescent="0.25">
      <c r="A37" s="13">
        <v>35</v>
      </c>
      <c r="B37" s="13" t="s">
        <v>165</v>
      </c>
      <c r="C37" s="13" t="s">
        <v>14</v>
      </c>
      <c r="D37" s="13" t="s">
        <v>19</v>
      </c>
      <c r="E37" s="13" t="s">
        <v>166</v>
      </c>
      <c r="F37" s="13" t="s">
        <v>167</v>
      </c>
      <c r="G37" s="14" t="s">
        <v>52</v>
      </c>
      <c r="H37" s="13" t="s">
        <v>33</v>
      </c>
      <c r="I37" s="13" t="s">
        <v>168</v>
      </c>
      <c r="K37" s="20">
        <v>1</v>
      </c>
      <c r="L37" s="20">
        <v>1</v>
      </c>
      <c r="N37" s="20">
        <v>1</v>
      </c>
      <c r="O37" s="20">
        <v>1</v>
      </c>
      <c r="Q37" s="24">
        <v>0.1</v>
      </c>
      <c r="R37" s="25">
        <v>0.33300000000000002</v>
      </c>
      <c r="S37" s="25">
        <v>0.20200000000000001</v>
      </c>
      <c r="U37" s="23">
        <v>0.1</v>
      </c>
      <c r="V37" s="20">
        <v>0.33300000000000002</v>
      </c>
      <c r="W37" s="20">
        <v>0.29599999999999999</v>
      </c>
    </row>
    <row r="38" spans="1:23" ht="15.75" x14ac:dyDescent="0.25">
      <c r="A38" s="13">
        <v>36</v>
      </c>
      <c r="B38" s="13" t="s">
        <v>169</v>
      </c>
      <c r="C38" s="13" t="s">
        <v>14</v>
      </c>
      <c r="D38" s="13" t="s">
        <v>19</v>
      </c>
      <c r="E38" s="13" t="s">
        <v>170</v>
      </c>
      <c r="F38" s="13" t="s">
        <v>171</v>
      </c>
      <c r="G38" s="14" t="s">
        <v>172</v>
      </c>
      <c r="H38" s="14" t="s">
        <v>161</v>
      </c>
      <c r="I38" s="13" t="s">
        <v>33</v>
      </c>
      <c r="K38" s="20">
        <v>1</v>
      </c>
      <c r="L38" s="20">
        <v>1</v>
      </c>
      <c r="N38" s="20">
        <v>2</v>
      </c>
      <c r="O38" s="20">
        <v>2</v>
      </c>
      <c r="Q38" s="24">
        <v>0.2</v>
      </c>
      <c r="R38" s="25">
        <v>0.66700000000000004</v>
      </c>
      <c r="S38" s="24">
        <v>0.35</v>
      </c>
      <c r="U38" s="23">
        <v>0.2</v>
      </c>
      <c r="V38" s="20">
        <v>0.66700000000000004</v>
      </c>
      <c r="W38" s="20">
        <v>0.39100000000000001</v>
      </c>
    </row>
    <row r="39" spans="1:23" ht="15.75" x14ac:dyDescent="0.25">
      <c r="A39" s="13">
        <v>37</v>
      </c>
      <c r="B39" s="13" t="s">
        <v>173</v>
      </c>
      <c r="C39" s="13" t="s">
        <v>14</v>
      </c>
      <c r="D39" s="13" t="s">
        <v>19</v>
      </c>
      <c r="E39" s="13" t="s">
        <v>174</v>
      </c>
      <c r="F39" s="13" t="s">
        <v>175</v>
      </c>
      <c r="G39" s="14" t="s">
        <v>16</v>
      </c>
      <c r="H39" s="13" t="s">
        <v>161</v>
      </c>
      <c r="I39" s="14" t="s">
        <v>21</v>
      </c>
      <c r="K39" s="20">
        <v>1</v>
      </c>
      <c r="L39" s="20">
        <v>1</v>
      </c>
      <c r="N39" s="20">
        <v>2</v>
      </c>
      <c r="O39" s="20">
        <v>2</v>
      </c>
      <c r="Q39" s="24">
        <v>0.2</v>
      </c>
      <c r="R39" s="25">
        <v>0.66700000000000004</v>
      </c>
      <c r="S39" s="25">
        <v>0.32300000000000001</v>
      </c>
      <c r="U39" s="23">
        <v>0.2</v>
      </c>
      <c r="V39" s="20">
        <v>0.66700000000000004</v>
      </c>
      <c r="W39" s="20">
        <v>0.28899999999999998</v>
      </c>
    </row>
    <row r="40" spans="1:23" ht="15.75" x14ac:dyDescent="0.25">
      <c r="A40" s="13">
        <v>38</v>
      </c>
      <c r="B40" s="13" t="s">
        <v>176</v>
      </c>
      <c r="C40" s="13" t="s">
        <v>14</v>
      </c>
      <c r="D40" s="13" t="s">
        <v>46</v>
      </c>
      <c r="E40" s="13" t="s">
        <v>177</v>
      </c>
      <c r="F40" s="13" t="s">
        <v>178</v>
      </c>
      <c r="G40" s="14" t="s">
        <v>18</v>
      </c>
      <c r="H40" s="14" t="s">
        <v>179</v>
      </c>
      <c r="I40" s="14" t="s">
        <v>34</v>
      </c>
      <c r="K40" s="20">
        <v>1</v>
      </c>
      <c r="L40" s="20">
        <v>1</v>
      </c>
      <c r="N40" s="20">
        <v>3</v>
      </c>
      <c r="O40" s="20">
        <v>3</v>
      </c>
      <c r="Q40" s="24">
        <v>0.3</v>
      </c>
      <c r="R40" s="24">
        <v>1</v>
      </c>
      <c r="S40" s="25">
        <v>0.78400000000000003</v>
      </c>
      <c r="U40" s="23">
        <v>0.3</v>
      </c>
      <c r="V40" s="23">
        <v>1</v>
      </c>
      <c r="W40" s="20">
        <v>0.58499999999999996</v>
      </c>
    </row>
    <row r="41" spans="1:23" ht="15.75" x14ac:dyDescent="0.25">
      <c r="A41" s="13">
        <v>39</v>
      </c>
      <c r="B41" s="13" t="s">
        <v>236</v>
      </c>
      <c r="C41" s="13" t="s">
        <v>14</v>
      </c>
      <c r="D41" s="13" t="s">
        <v>233</v>
      </c>
      <c r="E41" s="13" t="s">
        <v>237</v>
      </c>
      <c r="F41" s="13" t="s">
        <v>238</v>
      </c>
      <c r="G41" s="15" t="s">
        <v>68</v>
      </c>
      <c r="H41" s="18" t="s">
        <v>183</v>
      </c>
      <c r="I41" s="14" t="s">
        <v>168</v>
      </c>
      <c r="K41" s="20">
        <v>1</v>
      </c>
      <c r="L41" s="20">
        <v>1</v>
      </c>
      <c r="N41" s="20">
        <v>2</v>
      </c>
      <c r="O41" s="20">
        <v>2</v>
      </c>
      <c r="Q41" s="24">
        <v>0.2</v>
      </c>
      <c r="R41" s="24">
        <v>0.66700000000000004</v>
      </c>
      <c r="S41" s="24">
        <v>0.33800000000000002</v>
      </c>
      <c r="U41" s="23">
        <v>0.2</v>
      </c>
      <c r="V41" s="23">
        <v>0.66700000000000004</v>
      </c>
      <c r="W41" s="23">
        <v>0.308</v>
      </c>
    </row>
    <row r="42" spans="1:23" ht="15.75" x14ac:dyDescent="0.25">
      <c r="A42" s="13">
        <v>40</v>
      </c>
      <c r="B42" s="13" t="s">
        <v>180</v>
      </c>
      <c r="C42" s="13" t="s">
        <v>14</v>
      </c>
      <c r="D42" s="13" t="s">
        <v>15</v>
      </c>
      <c r="E42" s="13" t="s">
        <v>181</v>
      </c>
      <c r="F42" s="13" t="s">
        <v>182</v>
      </c>
      <c r="G42" s="15" t="s">
        <v>68</v>
      </c>
      <c r="H42" s="13" t="s">
        <v>183</v>
      </c>
      <c r="I42" s="13" t="s">
        <v>22</v>
      </c>
      <c r="K42" s="20">
        <v>1</v>
      </c>
      <c r="L42" s="20">
        <v>0</v>
      </c>
      <c r="N42" s="20">
        <v>1</v>
      </c>
      <c r="O42" s="20">
        <v>0</v>
      </c>
      <c r="Q42" s="24">
        <v>0.1</v>
      </c>
      <c r="R42" s="25">
        <v>0.33300000000000002</v>
      </c>
      <c r="S42" s="25">
        <v>0.23499999999999999</v>
      </c>
      <c r="U42" s="23">
        <v>0</v>
      </c>
      <c r="V42" s="23">
        <v>0</v>
      </c>
      <c r="W42" s="23">
        <v>0</v>
      </c>
    </row>
    <row r="43" spans="1:23" ht="15.75" x14ac:dyDescent="0.25">
      <c r="A43" s="13">
        <v>41</v>
      </c>
      <c r="B43" s="13" t="s">
        <v>239</v>
      </c>
      <c r="C43" s="13" t="s">
        <v>14</v>
      </c>
      <c r="D43" s="13" t="s">
        <v>233</v>
      </c>
      <c r="E43" s="13" t="s">
        <v>240</v>
      </c>
      <c r="F43" s="13" t="s">
        <v>241</v>
      </c>
      <c r="G43" s="13" t="s">
        <v>92</v>
      </c>
      <c r="H43" s="14" t="s">
        <v>33</v>
      </c>
      <c r="I43" s="14" t="s">
        <v>53</v>
      </c>
      <c r="K43" s="20">
        <v>1</v>
      </c>
      <c r="L43" s="20">
        <v>1</v>
      </c>
      <c r="N43" s="20">
        <v>2</v>
      </c>
      <c r="O43" s="20">
        <v>2</v>
      </c>
      <c r="Q43" s="24">
        <v>0.2</v>
      </c>
      <c r="R43" s="24">
        <v>0.66700000000000004</v>
      </c>
      <c r="S43" s="24">
        <v>0.432</v>
      </c>
      <c r="U43" s="23">
        <v>0.2</v>
      </c>
      <c r="V43" s="23">
        <v>0.66700000000000004</v>
      </c>
      <c r="W43" s="23">
        <v>0.61099999999999999</v>
      </c>
    </row>
    <row r="44" spans="1:23" ht="15.75" x14ac:dyDescent="0.25">
      <c r="A44" s="13">
        <v>42</v>
      </c>
      <c r="B44" s="13" t="s">
        <v>184</v>
      </c>
      <c r="C44" s="13" t="s">
        <v>9</v>
      </c>
      <c r="D44" s="13" t="s">
        <v>15</v>
      </c>
      <c r="E44" s="13" t="s">
        <v>185</v>
      </c>
      <c r="F44" s="13" t="s">
        <v>186</v>
      </c>
      <c r="G44" s="16" t="s">
        <v>187</v>
      </c>
      <c r="H44" s="15" t="s">
        <v>133</v>
      </c>
      <c r="I44" s="13" t="s">
        <v>74</v>
      </c>
      <c r="K44" s="20">
        <v>1</v>
      </c>
      <c r="L44" s="20">
        <v>1</v>
      </c>
      <c r="N44" s="20">
        <v>1</v>
      </c>
      <c r="O44" s="20">
        <v>1</v>
      </c>
      <c r="Q44" s="24">
        <v>0.1</v>
      </c>
      <c r="R44" s="25">
        <v>0.33300000000000002</v>
      </c>
      <c r="S44" s="25">
        <v>0.182</v>
      </c>
      <c r="U44" s="23">
        <v>0.1</v>
      </c>
      <c r="V44" s="20">
        <v>0.33300000000000002</v>
      </c>
      <c r="W44" s="20">
        <v>0.23499999999999999</v>
      </c>
    </row>
    <row r="45" spans="1:23" ht="15.75" x14ac:dyDescent="0.25">
      <c r="A45" s="13">
        <v>43</v>
      </c>
      <c r="B45" s="13" t="s">
        <v>226</v>
      </c>
      <c r="C45" s="13" t="s">
        <v>14</v>
      </c>
      <c r="D45" s="13" t="s">
        <v>19</v>
      </c>
      <c r="E45" s="13" t="s">
        <v>188</v>
      </c>
      <c r="F45" s="13" t="s">
        <v>189</v>
      </c>
      <c r="G45" s="14" t="s">
        <v>32</v>
      </c>
      <c r="H45" s="15" t="s">
        <v>68</v>
      </c>
      <c r="I45" s="16" t="s">
        <v>190</v>
      </c>
      <c r="K45" s="20">
        <v>1</v>
      </c>
      <c r="L45" s="20">
        <v>1</v>
      </c>
      <c r="N45" s="20">
        <v>2</v>
      </c>
      <c r="O45" s="20">
        <v>2</v>
      </c>
      <c r="Q45" s="24">
        <v>0.2</v>
      </c>
      <c r="R45" s="25">
        <v>0.66700000000000004</v>
      </c>
      <c r="S45" s="25">
        <v>0.65100000000000002</v>
      </c>
      <c r="U45" s="23">
        <v>0.2</v>
      </c>
      <c r="V45" s="20">
        <v>0.66700000000000004</v>
      </c>
      <c r="W45" s="20">
        <v>0.30399999999999999</v>
      </c>
    </row>
    <row r="46" spans="1:23" ht="15.75" x14ac:dyDescent="0.25">
      <c r="A46" s="13">
        <v>44</v>
      </c>
      <c r="B46" s="13" t="s">
        <v>191</v>
      </c>
      <c r="C46" s="13" t="s">
        <v>9</v>
      </c>
      <c r="D46" s="13" t="s">
        <v>19</v>
      </c>
      <c r="E46" s="13" t="s">
        <v>155</v>
      </c>
      <c r="F46" s="13" t="s">
        <v>156</v>
      </c>
      <c r="G46" s="14" t="s">
        <v>11</v>
      </c>
      <c r="H46" s="16" t="s">
        <v>124</v>
      </c>
      <c r="I46" s="13" t="s">
        <v>157</v>
      </c>
      <c r="K46" s="20">
        <v>1</v>
      </c>
      <c r="L46" s="20">
        <v>1</v>
      </c>
      <c r="N46" s="20">
        <v>1</v>
      </c>
      <c r="O46" s="20">
        <v>2</v>
      </c>
      <c r="Q46" s="24">
        <v>0.1</v>
      </c>
      <c r="R46" s="25">
        <v>0.33300000000000002</v>
      </c>
      <c r="S46" s="25">
        <v>0.182</v>
      </c>
      <c r="U46" s="23">
        <v>0.2</v>
      </c>
      <c r="V46" s="20">
        <v>0.66700000000000004</v>
      </c>
      <c r="W46" s="20">
        <v>0.44400000000000001</v>
      </c>
    </row>
    <row r="47" spans="1:23" ht="15.75" x14ac:dyDescent="0.25">
      <c r="A47" s="13">
        <v>45</v>
      </c>
      <c r="B47" s="13" t="s">
        <v>192</v>
      </c>
      <c r="C47" s="13" t="s">
        <v>14</v>
      </c>
      <c r="D47" s="13" t="s">
        <v>19</v>
      </c>
      <c r="E47" s="13" t="s">
        <v>193</v>
      </c>
      <c r="F47" s="13" t="s">
        <v>194</v>
      </c>
      <c r="G47" s="14" t="s">
        <v>52</v>
      </c>
      <c r="H47" s="13" t="s">
        <v>33</v>
      </c>
      <c r="I47" s="15" t="s">
        <v>195</v>
      </c>
      <c r="K47" s="20">
        <v>1</v>
      </c>
      <c r="L47" s="20">
        <v>1</v>
      </c>
      <c r="N47" s="20">
        <v>2</v>
      </c>
      <c r="O47" s="20">
        <v>1</v>
      </c>
      <c r="Q47" s="24">
        <v>0.2</v>
      </c>
      <c r="R47" s="25">
        <v>0.66700000000000004</v>
      </c>
      <c r="S47" s="25">
        <v>0.29799999999999999</v>
      </c>
      <c r="U47" s="23">
        <v>0.1</v>
      </c>
      <c r="V47" s="20">
        <v>0.33300000000000002</v>
      </c>
      <c r="W47" s="20">
        <v>0.23499999999999999</v>
      </c>
    </row>
    <row r="48" spans="1:23" ht="15.75" x14ac:dyDescent="0.25">
      <c r="A48" s="13">
        <v>46</v>
      </c>
      <c r="B48" s="13" t="s">
        <v>196</v>
      </c>
      <c r="C48" s="13" t="s">
        <v>9</v>
      </c>
      <c r="D48" s="13" t="s">
        <v>19</v>
      </c>
      <c r="E48" s="13" t="s">
        <v>197</v>
      </c>
      <c r="F48" s="13" t="s">
        <v>198</v>
      </c>
      <c r="G48" s="14" t="s">
        <v>63</v>
      </c>
      <c r="H48" s="13" t="s">
        <v>109</v>
      </c>
      <c r="I48" s="13" t="s">
        <v>103</v>
      </c>
      <c r="K48" s="20">
        <v>1</v>
      </c>
      <c r="L48" s="20">
        <v>1</v>
      </c>
      <c r="N48" s="20">
        <v>1</v>
      </c>
      <c r="O48" s="20">
        <v>1</v>
      </c>
      <c r="Q48" s="24">
        <v>0.1</v>
      </c>
      <c r="R48" s="25">
        <v>0.33300000000000002</v>
      </c>
      <c r="S48" s="25">
        <v>0.156</v>
      </c>
      <c r="U48" s="23">
        <v>0.1</v>
      </c>
      <c r="V48" s="20">
        <v>0.33300000000000002</v>
      </c>
      <c r="W48" s="20">
        <v>0.46899999999999997</v>
      </c>
    </row>
    <row r="49" spans="1:23" ht="15.75" x14ac:dyDescent="0.25">
      <c r="A49" s="13">
        <v>47</v>
      </c>
      <c r="B49" s="13" t="s">
        <v>199</v>
      </c>
      <c r="C49" s="13" t="s">
        <v>14</v>
      </c>
      <c r="D49" s="13" t="s">
        <v>19</v>
      </c>
      <c r="E49" s="13" t="s">
        <v>200</v>
      </c>
      <c r="F49" s="13" t="s">
        <v>201</v>
      </c>
      <c r="G49" s="15" t="s">
        <v>68</v>
      </c>
      <c r="H49" s="13" t="s">
        <v>18</v>
      </c>
      <c r="I49" s="14" t="s">
        <v>32</v>
      </c>
      <c r="K49" s="20">
        <v>1</v>
      </c>
      <c r="L49" s="20">
        <v>1</v>
      </c>
      <c r="N49" s="20">
        <v>2</v>
      </c>
      <c r="O49" s="20">
        <v>1</v>
      </c>
      <c r="Q49" s="24">
        <v>0.2</v>
      </c>
      <c r="R49" s="25">
        <v>0.66700000000000004</v>
      </c>
      <c r="S49" s="25">
        <v>0.34300000000000003</v>
      </c>
      <c r="U49" s="23">
        <v>0.1</v>
      </c>
      <c r="V49" s="20">
        <v>0.33300000000000002</v>
      </c>
      <c r="W49" s="20">
        <v>0.156</v>
      </c>
    </row>
    <row r="50" spans="1:23" ht="15.75" x14ac:dyDescent="0.25">
      <c r="A50" s="13">
        <v>48</v>
      </c>
      <c r="B50" s="13" t="s">
        <v>202</v>
      </c>
      <c r="C50" s="13" t="s">
        <v>9</v>
      </c>
      <c r="D50" s="13" t="s">
        <v>10</v>
      </c>
      <c r="E50" s="13" t="s">
        <v>203</v>
      </c>
      <c r="F50" s="13" t="s">
        <v>204</v>
      </c>
      <c r="G50" s="13" t="s">
        <v>40</v>
      </c>
      <c r="H50" s="14" t="s">
        <v>28</v>
      </c>
      <c r="I50" s="14" t="s">
        <v>205</v>
      </c>
      <c r="K50" s="20">
        <v>1</v>
      </c>
      <c r="L50" s="20">
        <v>1</v>
      </c>
      <c r="N50" s="20">
        <v>2</v>
      </c>
      <c r="O50" s="20">
        <v>2</v>
      </c>
      <c r="Q50" s="24">
        <v>0.2</v>
      </c>
      <c r="R50" s="25">
        <v>0.66700000000000004</v>
      </c>
      <c r="S50" s="25">
        <v>0.45300000000000001</v>
      </c>
      <c r="U50" s="23">
        <v>0.2</v>
      </c>
      <c r="V50" s="20">
        <v>0.66700000000000004</v>
      </c>
      <c r="W50" s="20">
        <v>0.41599999999999998</v>
      </c>
    </row>
    <row r="51" spans="1:23" ht="15.75" x14ac:dyDescent="0.25">
      <c r="A51" s="13">
        <v>49</v>
      </c>
      <c r="B51" s="13" t="s">
        <v>206</v>
      </c>
      <c r="C51" s="13" t="s">
        <v>14</v>
      </c>
      <c r="D51" s="13" t="s">
        <v>19</v>
      </c>
      <c r="E51" s="13" t="s">
        <v>207</v>
      </c>
      <c r="F51" s="13" t="s">
        <v>208</v>
      </c>
      <c r="G51" s="15" t="s">
        <v>17</v>
      </c>
      <c r="H51" s="14" t="s">
        <v>68</v>
      </c>
      <c r="I51" s="14" t="s">
        <v>32</v>
      </c>
      <c r="K51" s="20">
        <v>1</v>
      </c>
      <c r="L51" s="20">
        <v>1</v>
      </c>
      <c r="N51" s="20">
        <v>3</v>
      </c>
      <c r="O51" s="20">
        <v>1</v>
      </c>
      <c r="Q51" s="24">
        <v>0.3</v>
      </c>
      <c r="R51" s="26">
        <v>1</v>
      </c>
      <c r="S51" s="25">
        <v>0.83899999999999997</v>
      </c>
      <c r="U51" s="23">
        <v>0.2</v>
      </c>
      <c r="V51" s="20">
        <v>0.66700000000000004</v>
      </c>
      <c r="W51" s="20">
        <v>0.317</v>
      </c>
    </row>
    <row r="52" spans="1:23" ht="15.75" x14ac:dyDescent="0.25">
      <c r="A52" s="13">
        <v>50</v>
      </c>
      <c r="B52" s="13" t="s">
        <v>209</v>
      </c>
      <c r="C52" s="13" t="s">
        <v>14</v>
      </c>
      <c r="D52" s="13" t="s">
        <v>19</v>
      </c>
      <c r="E52" s="13" t="s">
        <v>210</v>
      </c>
      <c r="F52" s="13" t="s">
        <v>211</v>
      </c>
      <c r="G52" s="15" t="s">
        <v>16</v>
      </c>
      <c r="H52" s="13" t="s">
        <v>212</v>
      </c>
      <c r="I52" s="13" t="s">
        <v>34</v>
      </c>
      <c r="K52" s="20">
        <v>1</v>
      </c>
      <c r="L52" s="20">
        <v>0</v>
      </c>
      <c r="N52" s="20">
        <v>1</v>
      </c>
      <c r="O52" s="20">
        <v>0</v>
      </c>
      <c r="Q52" s="24">
        <v>0.1</v>
      </c>
      <c r="R52" s="25">
        <v>0.33300000000000002</v>
      </c>
      <c r="S52" s="25">
        <v>0.156</v>
      </c>
      <c r="U52" s="23">
        <v>0</v>
      </c>
      <c r="V52" s="23">
        <v>0</v>
      </c>
      <c r="W52" s="23">
        <v>0</v>
      </c>
    </row>
    <row r="54" spans="1:23" ht="15.75" x14ac:dyDescent="0.25">
      <c r="I54" s="8"/>
      <c r="J54" s="5" t="s">
        <v>227</v>
      </c>
      <c r="K54" s="5">
        <f>SUM(K3:K52)</f>
        <v>45</v>
      </c>
      <c r="L54" s="5">
        <f>SUM(L3:L52)</f>
        <v>41</v>
      </c>
      <c r="M54" s="10"/>
      <c r="N54" s="7">
        <f>SUM(N3:N52)</f>
        <v>73</v>
      </c>
      <c r="O54" s="7">
        <f>SUM(O3:O52)</f>
        <v>60</v>
      </c>
      <c r="P54" s="7"/>
      <c r="Q54" s="6">
        <f>SUM(Q3:Q52)</f>
        <v>7.3</v>
      </c>
      <c r="R54" s="5">
        <f>SUM(R3:R52)</f>
        <v>24.333000000000002</v>
      </c>
      <c r="S54" s="6">
        <f>SUM(S3:S52)</f>
        <v>14.762000000000002</v>
      </c>
      <c r="T54" s="5"/>
      <c r="U54" s="6">
        <f>SUM(U3:U52)</f>
        <v>6.1000000000000014</v>
      </c>
      <c r="V54" s="5">
        <f>SUM(V3:V52)</f>
        <v>20.331000000000003</v>
      </c>
      <c r="W54" s="6">
        <f>SUM(W3:W52)</f>
        <v>12.882000000000001</v>
      </c>
    </row>
    <row r="55" spans="1:23" x14ac:dyDescent="0.25">
      <c r="I55" s="7"/>
      <c r="J55" s="7"/>
      <c r="K55" s="11">
        <f>K54/50</f>
        <v>0.9</v>
      </c>
      <c r="L55" s="7">
        <f>L54/50</f>
        <v>0.82</v>
      </c>
      <c r="M55" s="7"/>
      <c r="N55" s="7"/>
      <c r="O55" s="7"/>
      <c r="P55" s="7"/>
      <c r="Q55" s="6">
        <f>AVERAGE(Q3:Q52)</f>
        <v>0.14599999999999999</v>
      </c>
      <c r="R55" s="6">
        <f>AVERAGE(R3:R52)</f>
        <v>0.48666000000000004</v>
      </c>
      <c r="S55" s="6">
        <f>AVERAGE(S3:S52)</f>
        <v>0.29524000000000006</v>
      </c>
      <c r="T55" s="5"/>
      <c r="U55" s="6">
        <f>AVERAGE(U3:U52)</f>
        <v>0.12200000000000003</v>
      </c>
      <c r="V55" s="6">
        <f>AVERAGE(V3:V52)</f>
        <v>0.40662000000000004</v>
      </c>
      <c r="W55" s="6">
        <f>AVERAGE(W3:W52)</f>
        <v>0.25764000000000004</v>
      </c>
    </row>
    <row r="56" spans="1:23" x14ac:dyDescent="0.25">
      <c r="J56" t="s">
        <v>242</v>
      </c>
      <c r="K56" s="9">
        <v>0.9</v>
      </c>
      <c r="L56" s="9">
        <v>0.82</v>
      </c>
      <c r="Q56" s="9">
        <v>0.14599999999999999</v>
      </c>
      <c r="R56" s="9">
        <v>0.48699999999999999</v>
      </c>
      <c r="S56" s="9">
        <v>0.29499999999999998</v>
      </c>
      <c r="U56" s="9">
        <v>0.122</v>
      </c>
      <c r="V56" s="9">
        <v>0.40699999999999997</v>
      </c>
      <c r="W56" s="9">
        <v>0.25800000000000001</v>
      </c>
    </row>
    <row r="57" spans="1:23" x14ac:dyDescent="0.25">
      <c r="J57" s="1"/>
    </row>
  </sheetData>
  <autoFilter ref="D1:D57" xr:uid="{6B91233A-A885-4733-87AB-D8DD389BE875}"/>
  <mergeCells count="15">
    <mergeCell ref="Q1:S1"/>
    <mergeCell ref="U1:W1"/>
    <mergeCell ref="A1:A2"/>
    <mergeCell ref="B1:B2"/>
    <mergeCell ref="C1:C2"/>
    <mergeCell ref="D1:D2"/>
    <mergeCell ref="E1:E2"/>
    <mergeCell ref="F1:F2"/>
    <mergeCell ref="G1:G2"/>
    <mergeCell ref="H1:H2"/>
    <mergeCell ref="I1:I2"/>
    <mergeCell ref="K1:K2"/>
    <mergeCell ref="L1:L2"/>
    <mergeCell ref="N1:N2"/>
    <mergeCell ref="O1:O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devifebiyanti75@outlook.com</dc:creator>
  <cp:lastModifiedBy>devifebiyanti75@outlook.com</cp:lastModifiedBy>
  <dcterms:created xsi:type="dcterms:W3CDTF">2026-04-21T07:04:26Z</dcterms:created>
  <dcterms:modified xsi:type="dcterms:W3CDTF">2026-04-30T13:58:54Z</dcterms:modified>
</cp:coreProperties>
</file>